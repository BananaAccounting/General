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P:\L\GitHubDomenico\General\CaseStudies\"/>
    </mc:Choice>
  </mc:AlternateContent>
  <bookViews>
    <workbookView xWindow="24750" yWindow="150" windowWidth="25350" windowHeight="12705" activeTab="1"/>
  </bookViews>
  <sheets>
    <sheet name="Start" sheetId="1" r:id="rId1"/>
    <sheet name="Current &amp; Last Yeat" sheetId="6" r:id="rId2"/>
  </sheets>
  <functionGroups builtInGroupCount="18"/>
  <definedNames>
    <definedName name="DisableConnection">Start!$B$15</definedName>
    <definedName name="_xlnm.Print_Area" localSheetId="1">'Current &amp; Last Yeat'!$B$2:$D$12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52511"/>
</workbook>
</file>

<file path=xl/calcChain.xml><?xml version="1.0" encoding="utf-8"?>
<calcChain xmlns="http://schemas.openxmlformats.org/spreadsheetml/2006/main">
  <c r="B3" i="1" l="1"/>
  <c r="B11" i="1"/>
  <c r="B12" i="1"/>
  <c r="B13" i="1"/>
  <c r="G16" i="6"/>
  <c r="G15" i="6"/>
  <c r="G5" i="6"/>
  <c r="F7" i="6"/>
  <c r="E9" i="6"/>
  <c r="D15" i="6"/>
  <c r="C15" i="6"/>
  <c r="C5" i="6"/>
  <c r="B7" i="6"/>
  <c r="E6" i="6"/>
  <c r="D7" i="6"/>
  <c r="C10" i="6"/>
  <c r="D13" i="6"/>
  <c r="G14" i="6"/>
  <c r="F16" i="6"/>
  <c r="F6" i="6"/>
  <c r="E8" i="6"/>
  <c r="D9" i="6"/>
  <c r="C13" i="6"/>
  <c r="B16" i="6"/>
  <c r="B6" i="6"/>
  <c r="F14" i="6"/>
  <c r="C16" i="6"/>
  <c r="B2" i="6"/>
  <c r="G13" i="6"/>
  <c r="F15" i="6"/>
  <c r="F5" i="6"/>
  <c r="E7" i="6"/>
  <c r="D8" i="6"/>
  <c r="C14" i="6"/>
  <c r="B13" i="6"/>
  <c r="B5" i="6"/>
  <c r="E16" i="6"/>
  <c r="B14" i="6"/>
  <c r="G10" i="6"/>
  <c r="G9" i="6"/>
  <c r="F13" i="6"/>
  <c r="E14" i="6"/>
  <c r="E5" i="6"/>
  <c r="D6" i="6"/>
  <c r="C9" i="6"/>
  <c r="B15" i="6"/>
  <c r="F9" i="6"/>
  <c r="D14" i="6"/>
  <c r="F8" i="6"/>
  <c r="C6" i="6"/>
  <c r="G8" i="6"/>
  <c r="F10" i="6"/>
  <c r="E13" i="6"/>
  <c r="D16" i="6"/>
  <c r="D10" i="6"/>
  <c r="C8" i="6"/>
  <c r="B10" i="6"/>
  <c r="E15" i="6"/>
  <c r="D5" i="6"/>
  <c r="C7" i="6"/>
  <c r="B9" i="6"/>
  <c r="G6" i="6"/>
  <c r="E10" i="6"/>
  <c r="B8" i="6"/>
  <c r="G7" i="6"/>
  <c r="D11" i="6" l="1"/>
  <c r="E11" i="6"/>
  <c r="F11" i="6"/>
  <c r="G11" i="6"/>
  <c r="C11" i="6"/>
  <c r="G17" i="6"/>
  <c r="F17" i="6"/>
  <c r="D17" i="6"/>
  <c r="E17" i="6"/>
  <c r="C17" i="6"/>
  <c r="C6" i="1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<sst xmlns="http://schemas.openxmlformats.org/spreadsheetml/2006/main" count="53" uniqueCount="51">
  <si>
    <t>Macro RecalculateAll (Ctrl+R)</t>
  </si>
  <si>
    <t>Retrieve data from Banana Accounting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</si>
  <si>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</si>
  <si>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</si>
  <si>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</si>
  <si>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</si>
  <si>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</si>
  <si>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</si>
  <si>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</si>
  <si>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</si>
  <si>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</si>
  <si>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</si>
  <si>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</si>
  <si>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</si>
  <si>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</si>
  <si>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Banana Functions version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</si>
  <si>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</si>
  <si>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</si>
  <si>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</si>
  <si>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</si>
  <si>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</si>
  <si>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</si>
  <si>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</si>
  <si>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</si>
  <si>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</si>
  <si>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</si>
  <si>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</si>
  <si>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</si>
  <si>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</si>
  <si>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</si>
  <si>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</si>
  <si>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 xml:space="preserve">C:/Users/domen_000/Documents/GitHub/General/SampleFiles/company-2014.ac2 </t>
  </si>
  <si>
    <t>VatReport.ac2</t>
  </si>
  <si>
    <t>S0</t>
  </si>
  <si>
    <t>S10</t>
  </si>
  <si>
    <t>SE</t>
  </si>
  <si>
    <t>S5</t>
  </si>
  <si>
    <t>SD5</t>
  </si>
  <si>
    <t>SD10</t>
  </si>
  <si>
    <t>VAT due</t>
  </si>
  <si>
    <t>vatAmount</t>
  </si>
  <si>
    <t>vatNotDeductible</t>
  </si>
  <si>
    <t>vatPosted</t>
  </si>
  <si>
    <t>vatTaxable</t>
  </si>
  <si>
    <t>P5</t>
  </si>
  <si>
    <t>P10</t>
  </si>
  <si>
    <t>PD5</t>
  </si>
  <si>
    <t>PD10</t>
  </si>
  <si>
    <t>VAT recoverable</t>
  </si>
  <si>
    <t>count</t>
  </si>
  <si>
    <t>Vat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</si>
</sst>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_ * #,##0_ ;_ * \-#,##0_ ;_ * &quot;-&quot;??_ ;_ @_ "/>
  </numFmts>
  <fonts count="21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7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0" fontId="19" fillId="0" borderId="0" xfId="0" applyFont="1"/>
    <xf numFmtId="43" fontId="8" fillId="0" borderId="0" xfId="1" applyFont="1" applyBorder="1" applyAlignment="1"/>
    <xf numFmtId="43" fontId="8" fillId="0" borderId="0" xfId="1" applyFont="1" applyBorder="1"/>
    <xf numFmtId="0" fontId="0" fillId="0" borderId="0" xfId="0" applyAlignment="1">
      <alignment horizontal="left"/>
    </xf>
    <xf numFmtId="0" fontId="0" fillId="0" borderId="1" xfId="0" applyBorder="1"/>
    <xf numFmtId="0" fontId="11" fillId="0" borderId="1" xfId="0" applyFont="1" applyBorder="1"/>
    <xf numFmtId="0" fontId="0" fillId="0" borderId="0" xfId="0" applyBorder="1"/>
    <xf numFmtId="0" fontId="7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165" fontId="0" fillId="0" borderId="0" xfId="0" applyNumberFormat="1" applyBorder="1"/>
    <xf numFmtId="14" fontId="8" fillId="0" borderId="1" xfId="1" applyNumberFormat="1" applyFont="1" applyBorder="1" applyAlignment="1">
      <alignment horizontal="center"/>
    </xf>
    <xf numFmtId="14" fontId="8" fillId="0" borderId="1" xfId="1" applyNumberFormat="1" applyFont="1" applyFill="1" applyBorder="1" applyAlignment="1">
      <alignment horizontal="center"/>
    </xf>
    <xf numFmtId="0" fontId="20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43" fontId="8" fillId="0" borderId="1" xfId="1" applyFont="1" applyBorder="1" applyAlignment="1"/>
    <xf numFmtId="165" fontId="8" fillId="0" borderId="1" xfId="1" applyNumberFormat="1" applyFont="1" applyBorder="1" applyAlignment="1"/>
    <xf numFmtId="0" fontId="7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43" fontId="18" fillId="0" borderId="1" xfId="1" applyFont="1" applyBorder="1" applyAlignment="1"/>
    <xf numFmtId="165" fontId="18" fillId="0" borderId="1" xfId="1" applyNumberFormat="1" applyFont="1" applyBorder="1" applyAlignment="1"/>
    <xf numFmtId="14" fontId="8" fillId="0" borderId="1" xfId="1" applyNumberFormat="1" applyFont="1" applyBorder="1" applyAlignment="1">
      <alignment horizontal="center" wrapText="1"/>
    </xf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1457325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70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 x14ac:dyDescent="0.25">
      <c r="A1" s="6"/>
    </row>
    <row r="2" spans="1:5" x14ac:dyDescent="0.25">
      <c r="A2" s="19" t="s">
        <v>0</v>
      </c>
      <c r="B2" s="18" t="s">
        <v>15</v>
      </c>
    </row>
    <row r="3" spans="1:5" x14ac:dyDescent="0.25">
      <c r="A3" s="19"/>
      <c r="B3" s="22" t="str">
        <f>BFunctionsVersion()</f>
        <v>2015-04-26</v>
      </c>
    </row>
    <row r="4" spans="1:5" x14ac:dyDescent="0.25">
      <c r="A4" s="19"/>
    </row>
    <row r="5" spans="1:5" x14ac:dyDescent="0.25">
      <c r="B5" s="24"/>
      <c r="E5" s="23"/>
    </row>
    <row r="6" spans="1:5" x14ac:dyDescent="0.25">
      <c r="A6" s="18" t="s">
        <v>20</v>
      </c>
      <c r="B6" s="20" t="s">
        <v>32</v>
      </c>
      <c r="C6" t="str">
        <f>IF(B11="","Banana not open, file not open or WebServer not active","Banana Connection OK")</f>
        <v>Banana Connection OK</v>
      </c>
    </row>
    <row r="7" spans="1:5" x14ac:dyDescent="0.25">
      <c r="A7" s="18" t="s">
        <v>22</v>
      </c>
      <c r="B7" s="20"/>
    </row>
    <row r="8" spans="1:5" x14ac:dyDescent="0.25">
      <c r="A8" s="18" t="s">
        <v>23</v>
      </c>
      <c r="B8" s="20"/>
    </row>
    <row r="9" spans="1:5" x14ac:dyDescent="0.25">
      <c r="B9" s="26"/>
    </row>
    <row r="10" spans="1:5" x14ac:dyDescent="0.25">
      <c r="B10" s="26"/>
      <c r="C10" t="s">
        <v>25</v>
      </c>
    </row>
    <row r="11" spans="1:5" x14ac:dyDescent="0.25">
      <c r="A11" s="18" t="s">
        <v>16</v>
      </c>
      <c r="B11" s="18" t="str">
        <f>BFileName( B6,DisableConnection)</f>
        <v>VatReport.ac2</v>
      </c>
      <c r="C11" t="s">
        <v>21</v>
      </c>
    </row>
    <row r="12" spans="1:5" x14ac:dyDescent="0.25">
      <c r="A12" s="18" t="s">
        <v>17</v>
      </c>
      <c r="B12" s="18" t="str">
        <f>BFileName( B7,DisableConnection)</f>
        <v/>
      </c>
      <c r="C12" t="s">
        <v>27</v>
      </c>
    </row>
    <row r="13" spans="1:5" x14ac:dyDescent="0.25">
      <c r="A13" s="18" t="s">
        <v>24</v>
      </c>
      <c r="B13" s="18" t="str">
        <f>BFileName( B8,DisableConnection)</f>
        <v/>
      </c>
    </row>
    <row r="14" spans="1:5" x14ac:dyDescent="0.25">
      <c r="A14" s="18"/>
      <c r="B14" s="18"/>
    </row>
    <row r="15" spans="1:5" x14ac:dyDescent="0.25">
      <c r="A15" s="18" t="s">
        <v>28</v>
      </c>
      <c r="B15" s="35"/>
      <c r="C15" t="s">
        <v>29</v>
      </c>
    </row>
    <row r="16" spans="1:5" x14ac:dyDescent="0.25">
      <c r="C16" t="s">
        <v>30</v>
      </c>
      <c r="D16" s="5"/>
    </row>
    <row r="17" spans="1:6" x14ac:dyDescent="0.25">
      <c r="B17" s="18"/>
      <c r="C17" s="22"/>
      <c r="E17" s="12"/>
      <c r="F17" s="12"/>
    </row>
    <row r="18" spans="1:6" s="7" customFormat="1" x14ac:dyDescent="0.25">
      <c r="A18" s="10"/>
      <c r="B18" s="11"/>
      <c r="C18" s="11"/>
      <c r="D18" s="12"/>
      <c r="E18" s="12"/>
      <c r="F18" s="12"/>
    </row>
    <row r="19" spans="1:6" s="7" customFormat="1" ht="18" x14ac:dyDescent="0.25">
      <c r="A19" s="29" t="s">
        <v>18</v>
      </c>
      <c r="B19" s="11"/>
      <c r="C19" s="11"/>
      <c r="D19" s="12"/>
      <c r="E19" s="12"/>
      <c r="F19" s="12"/>
    </row>
    <row r="20" spans="1:6" s="7" customFormat="1" ht="15.75" x14ac:dyDescent="0.25">
      <c r="A20" s="27" t="s">
        <v>1</v>
      </c>
      <c r="B20" s="11"/>
      <c r="C20" s="11"/>
      <c r="D20" s="12"/>
      <c r="E20" s="12"/>
      <c r="F20" s="12"/>
    </row>
    <row r="21" spans="1:6" s="7" customFormat="1" x14ac:dyDescent="0.25">
      <c r="A21" t="s">
        <v>19</v>
      </c>
      <c r="B21" s="11"/>
      <c r="C21" s="11"/>
      <c r="D21" s="12"/>
      <c r="E21" s="12"/>
      <c r="F21" s="12"/>
    </row>
    <row r="22" spans="1:6" s="7" customFormat="1" x14ac:dyDescent="0.25">
      <c r="A22" t="s">
        <v>12</v>
      </c>
      <c r="B22" s="11"/>
      <c r="C22" s="11"/>
      <c r="D22" s="12"/>
      <c r="E22" s="12"/>
      <c r="F22" s="12"/>
    </row>
    <row r="23" spans="1:6" s="7" customFormat="1" x14ac:dyDescent="0.25">
      <c r="A23" t="s">
        <v>14</v>
      </c>
      <c r="B23" s="11"/>
      <c r="C23" s="11"/>
      <c r="D23" s="12"/>
      <c r="E23" s="12"/>
      <c r="F23" s="12"/>
    </row>
    <row r="24" spans="1:6" s="7" customFormat="1" x14ac:dyDescent="0.25">
      <c r="A24" s="26"/>
      <c r="B24" s="11"/>
      <c r="C24" s="11"/>
      <c r="D24" s="12"/>
      <c r="E24" s="12"/>
      <c r="F24" s="12"/>
    </row>
    <row r="25" spans="1:6" s="7" customFormat="1" x14ac:dyDescent="0.25">
      <c r="A25"/>
      <c r="B25" s="13"/>
      <c r="C25" s="13"/>
      <c r="D25" s="12"/>
      <c r="E25" s="12"/>
      <c r="F25" s="12"/>
    </row>
    <row r="26" spans="1:6" s="7" customFormat="1" ht="18.75" x14ac:dyDescent="0.3">
      <c r="A26" s="30" t="s">
        <v>13</v>
      </c>
      <c r="B26" s="11"/>
      <c r="C26" s="11"/>
      <c r="D26" s="12"/>
      <c r="E26" s="12"/>
      <c r="F26" s="12"/>
    </row>
    <row r="27" spans="1:6" s="7" customFormat="1" x14ac:dyDescent="0.25">
      <c r="A27" s="31" t="s">
        <v>26</v>
      </c>
      <c r="B27" s="11"/>
      <c r="C27" s="11"/>
      <c r="D27" s="12"/>
      <c r="E27" s="12"/>
      <c r="F27" s="12"/>
    </row>
    <row r="28" spans="1:6" s="7" customFormat="1" x14ac:dyDescent="0.25">
      <c r="A28" s="22" t="s">
        <v>2</v>
      </c>
      <c r="B28" s="11"/>
      <c r="C28" s="11"/>
      <c r="D28" s="12"/>
      <c r="E28" s="12"/>
      <c r="F28" s="12"/>
    </row>
    <row r="29" spans="1:6" x14ac:dyDescent="0.25">
      <c r="A29" s="22" t="s">
        <v>3</v>
      </c>
      <c r="B29" s="13"/>
      <c r="C29" s="13"/>
      <c r="D29" s="14"/>
      <c r="E29" s="14"/>
      <c r="F29" s="14"/>
    </row>
    <row r="30" spans="1:6" x14ac:dyDescent="0.25">
      <c r="A30" s="22" t="s">
        <v>4</v>
      </c>
      <c r="B30" s="11"/>
      <c r="C30" s="11"/>
      <c r="D30" s="14"/>
      <c r="E30" s="14"/>
      <c r="F30" s="14"/>
    </row>
    <row r="31" spans="1:6" x14ac:dyDescent="0.25">
      <c r="A31" s="22" t="s">
        <v>5</v>
      </c>
      <c r="B31" s="11"/>
      <c r="C31" s="11"/>
      <c r="D31" s="14"/>
      <c r="E31" s="14"/>
      <c r="F31" s="14"/>
    </row>
    <row r="32" spans="1:6" x14ac:dyDescent="0.25">
      <c r="A32" s="22" t="s">
        <v>2</v>
      </c>
      <c r="B32" s="11"/>
      <c r="C32" s="11"/>
      <c r="D32" s="14"/>
      <c r="E32" s="14"/>
      <c r="F32" s="14"/>
    </row>
    <row r="33" spans="1:6" x14ac:dyDescent="0.25">
      <c r="A33" s="25" t="s">
        <v>6</v>
      </c>
      <c r="B33" s="13"/>
      <c r="C33" s="13"/>
      <c r="D33" s="14"/>
      <c r="E33" s="14"/>
      <c r="F33" s="14"/>
    </row>
    <row r="34" spans="1:6" x14ac:dyDescent="0.25">
      <c r="A34" s="22" t="s">
        <v>2</v>
      </c>
      <c r="B34" s="11"/>
      <c r="C34" s="11"/>
      <c r="D34" s="12"/>
      <c r="E34" s="12"/>
      <c r="F34" s="12"/>
    </row>
    <row r="35" spans="1:6" x14ac:dyDescent="0.25">
      <c r="A35" s="22" t="s">
        <v>7</v>
      </c>
      <c r="B35" s="11"/>
      <c r="C35" s="11"/>
      <c r="D35" s="12"/>
      <c r="E35" s="12"/>
      <c r="F35" s="12"/>
    </row>
    <row r="36" spans="1:6" x14ac:dyDescent="0.25">
      <c r="A36" s="22" t="s">
        <v>8</v>
      </c>
      <c r="B36" s="11"/>
      <c r="C36" s="11"/>
      <c r="D36" s="12"/>
      <c r="E36" s="12"/>
      <c r="F36" s="12"/>
    </row>
    <row r="37" spans="1:6" x14ac:dyDescent="0.25">
      <c r="A37" s="22" t="s">
        <v>9</v>
      </c>
      <c r="B37" s="17"/>
      <c r="C37" s="17"/>
      <c r="D37" s="9"/>
      <c r="E37" s="9"/>
      <c r="F37" s="9"/>
    </row>
    <row r="38" spans="1:6" x14ac:dyDescent="0.25">
      <c r="A38" s="22" t="s">
        <v>10</v>
      </c>
      <c r="B38" s="11"/>
      <c r="C38" s="11"/>
      <c r="D38" s="12"/>
      <c r="E38" s="12"/>
      <c r="F38" s="12"/>
    </row>
    <row r="39" spans="1:6" x14ac:dyDescent="0.25">
      <c r="A39" s="22" t="s">
        <v>11</v>
      </c>
      <c r="B39" s="11"/>
      <c r="C39" s="11"/>
      <c r="D39" s="12"/>
      <c r="E39" s="12"/>
      <c r="F39" s="12"/>
    </row>
    <row r="40" spans="1:6" x14ac:dyDescent="0.25">
      <c r="A40" s="8"/>
      <c r="B40" s="17"/>
      <c r="C40" s="17"/>
      <c r="D40" s="9"/>
      <c r="E40" s="9"/>
      <c r="F40" s="9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1"/>
      <c r="C42" s="11"/>
      <c r="D42" s="12"/>
      <c r="E42" s="12"/>
      <c r="F42" s="12"/>
    </row>
    <row r="43" spans="1:6" x14ac:dyDescent="0.25">
      <c r="A43" s="10"/>
      <c r="B43" s="13"/>
      <c r="C43" s="13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1"/>
      <c r="B46" s="13"/>
      <c r="C46" s="13"/>
      <c r="D46" s="9"/>
      <c r="E46" s="9"/>
      <c r="F46" s="9"/>
    </row>
    <row r="47" spans="1:6" x14ac:dyDescent="0.25">
      <c r="A47" s="11"/>
      <c r="B47" s="8"/>
      <c r="C47" s="8"/>
      <c r="D47" s="9"/>
      <c r="E47" s="9"/>
      <c r="F47" s="9"/>
    </row>
    <row r="48" spans="1:6" x14ac:dyDescent="0.25">
      <c r="A48" s="13"/>
      <c r="B48" s="8"/>
      <c r="C48" s="8"/>
      <c r="D48" s="9"/>
      <c r="E48" s="9"/>
      <c r="F48" s="9"/>
    </row>
    <row r="49" spans="1:6" x14ac:dyDescent="0.25">
      <c r="A49" s="8"/>
      <c r="B49" s="15"/>
      <c r="C49" s="15"/>
      <c r="D49" s="9"/>
      <c r="E49" s="9"/>
      <c r="F49" s="9"/>
    </row>
    <row r="50" spans="1:6" x14ac:dyDescent="0.25">
      <c r="A50" s="16" t="s">
        <v>31</v>
      </c>
      <c r="B50" s="9"/>
      <c r="C50" s="9"/>
      <c r="D50" s="9"/>
      <c r="E50" s="9"/>
      <c r="F50" s="9"/>
    </row>
    <row r="51" spans="1:6" x14ac:dyDescent="0.25">
      <c r="A51" s="1"/>
    </row>
    <row r="52" spans="1:6" x14ac:dyDescent="0.25">
      <c r="A52" s="1"/>
      <c r="B52" s="13"/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C58" s="1"/>
    </row>
    <row r="59" spans="1:6" x14ac:dyDescent="0.25">
      <c r="A59" s="1"/>
      <c r="B59" s="1"/>
      <c r="C59" s="1"/>
    </row>
    <row r="60" spans="1:6" x14ac:dyDescent="0.25">
      <c r="A60" s="2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1"/>
      <c r="B63" s="1"/>
      <c r="C63" s="1"/>
    </row>
    <row r="64" spans="1:6" x14ac:dyDescent="0.25">
      <c r="A64" s="2"/>
      <c r="B64" s="1"/>
      <c r="C64" s="1"/>
    </row>
    <row r="65" spans="1:3" x14ac:dyDescent="0.25">
      <c r="A65" s="3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3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3"/>
      <c r="B72" s="1"/>
      <c r="C72" s="1"/>
    </row>
    <row r="73" spans="1:3" x14ac:dyDescent="0.25">
      <c r="A73" s="4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2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4"/>
      <c r="B81" s="1"/>
      <c r="C81" s="1"/>
    </row>
    <row r="82" spans="1:3" x14ac:dyDescent="0.25">
      <c r="A82" s="2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1457325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G57"/>
  <sheetViews>
    <sheetView tabSelected="1" workbookViewId="0">
      <selection activeCell="D4" activeCellId="1" sqref="D4 D4"/>
    </sheetView>
  </sheetViews>
  <sheetFormatPr baseColWidth="10" defaultColWidth="9.140625" defaultRowHeight="15" x14ac:dyDescent="0.25"/>
  <cols>
    <col min="1" max="1" width="9.5703125" customWidth="1"/>
    <col min="2" max="2" width="42.140625" customWidth="1"/>
    <col min="3" max="3" width="17" customWidth="1"/>
    <col min="4" max="4" width="13.5703125" customWidth="1"/>
    <col min="5" max="5" width="16" customWidth="1"/>
  </cols>
  <sheetData>
    <row r="2" spans="1:7" ht="18" x14ac:dyDescent="0.25">
      <c r="B2" s="32" t="str">
        <f ca="1">BInfo( File0,"Base","HeaderLeft")</f>
        <v>Company XXX</v>
      </c>
      <c r="C2" s="28"/>
    </row>
    <row r="3" spans="1:7" ht="18" x14ac:dyDescent="0.25">
      <c r="B3" s="32"/>
      <c r="C3" s="28"/>
    </row>
    <row r="4" spans="1:7" x14ac:dyDescent="0.25">
      <c r="A4" s="36"/>
      <c r="B4" s="37" t="s">
        <v>50</v>
      </c>
      <c r="C4" s="52" t="s">
        <v>43</v>
      </c>
      <c r="D4" s="52" t="s">
        <v>40</v>
      </c>
      <c r="E4" s="52" t="s">
        <v>41</v>
      </c>
      <c r="F4" s="42" t="s">
        <v>42</v>
      </c>
      <c r="G4" s="43" t="s">
        <v>49</v>
      </c>
    </row>
    <row r="5" spans="1:7" x14ac:dyDescent="0.25">
      <c r="A5" s="44" t="s">
        <v>33</v>
      </c>
      <c r="B5" s="45" t="str">
        <f t="shared" ref="B5:B10" ca="1" si="0">BVatDescription(File0,A5)</f>
        <v>VAT exempt sales</v>
      </c>
      <c r="C5" s="46">
        <f t="shared" ref="C5:C10" ca="1" si="1">BVatBalance(File0,$A5,"taxable")</f>
        <v>-1000</v>
      </c>
      <c r="D5" s="46">
        <f t="shared" ref="D5:D10" ca="1" si="2">BVatBalance(File0,$A5,"amount")</f>
        <v>0</v>
      </c>
      <c r="E5" s="46">
        <f t="shared" ref="E5:E10" ca="1" si="3">BVatBalance(File0,$A5,"notdeductible")</f>
        <v>0</v>
      </c>
      <c r="F5" s="46">
        <f t="shared" ref="F5:F10" ca="1" si="4">BVatBalance(File0,$A5,"posted")</f>
        <v>0</v>
      </c>
      <c r="G5" s="47">
        <f t="shared" ref="G5:G10" ca="1" si="5">BVatBalance(File0,$A5,"rowcount")</f>
        <v>1</v>
      </c>
    </row>
    <row r="6" spans="1:7" x14ac:dyDescent="0.25">
      <c r="A6" s="44" t="s">
        <v>35</v>
      </c>
      <c r="B6" s="45" t="str">
        <f t="shared" ca="1" si="0"/>
        <v>Foreign sales exempt</v>
      </c>
      <c r="C6" s="46">
        <f t="shared" ca="1" si="1"/>
        <v>0</v>
      </c>
      <c r="D6" s="46">
        <f t="shared" ca="1" si="2"/>
        <v>0</v>
      </c>
      <c r="E6" s="46">
        <f t="shared" ca="1" si="3"/>
        <v>0</v>
      </c>
      <c r="F6" s="46">
        <f t="shared" ca="1" si="4"/>
        <v>0</v>
      </c>
      <c r="G6" s="47">
        <f t="shared" ca="1" si="5"/>
        <v>0</v>
      </c>
    </row>
    <row r="7" spans="1:7" s="7" customFormat="1" x14ac:dyDescent="0.25">
      <c r="A7" s="44" t="s">
        <v>36</v>
      </c>
      <c r="B7" s="45" t="str">
        <f t="shared" ca="1" si="0"/>
        <v>Sales at 5%</v>
      </c>
      <c r="C7" s="46">
        <f t="shared" ca="1" si="1"/>
        <v>0</v>
      </c>
      <c r="D7" s="46">
        <f t="shared" ca="1" si="2"/>
        <v>0</v>
      </c>
      <c r="E7" s="46">
        <f t="shared" ca="1" si="3"/>
        <v>0</v>
      </c>
      <c r="F7" s="46">
        <f t="shared" ca="1" si="4"/>
        <v>0</v>
      </c>
      <c r="G7" s="47">
        <f t="shared" ca="1" si="5"/>
        <v>0</v>
      </c>
    </row>
    <row r="8" spans="1:7" s="7" customFormat="1" x14ac:dyDescent="0.25">
      <c r="A8" s="44" t="s">
        <v>34</v>
      </c>
      <c r="B8" s="45" t="str">
        <f t="shared" ca="1" si="0"/>
        <v>Sales at 10%</v>
      </c>
      <c r="C8" s="46">
        <f t="shared" ca="1" si="1"/>
        <v>-2800</v>
      </c>
      <c r="D8" s="46">
        <f t="shared" ca="1" si="2"/>
        <v>-280</v>
      </c>
      <c r="E8" s="46">
        <f t="shared" ca="1" si="3"/>
        <v>0</v>
      </c>
      <c r="F8" s="46">
        <f t="shared" ca="1" si="4"/>
        <v>-280</v>
      </c>
      <c r="G8" s="47">
        <f t="shared" ca="1" si="5"/>
        <v>4</v>
      </c>
    </row>
    <row r="9" spans="1:7" s="7" customFormat="1" x14ac:dyDescent="0.25">
      <c r="A9" s="44" t="s">
        <v>37</v>
      </c>
      <c r="B9" s="45" t="str">
        <f t="shared" ca="1" si="0"/>
        <v>Discount on sales at 5%</v>
      </c>
      <c r="C9" s="46">
        <f t="shared" ca="1" si="1"/>
        <v>0</v>
      </c>
      <c r="D9" s="46">
        <f t="shared" ca="1" si="2"/>
        <v>0</v>
      </c>
      <c r="E9" s="46">
        <f t="shared" ca="1" si="3"/>
        <v>0</v>
      </c>
      <c r="F9" s="46">
        <f t="shared" ca="1" si="4"/>
        <v>0</v>
      </c>
      <c r="G9" s="47">
        <f t="shared" ca="1" si="5"/>
        <v>0</v>
      </c>
    </row>
    <row r="10" spans="1:7" s="7" customFormat="1" x14ac:dyDescent="0.25">
      <c r="A10" s="44" t="s">
        <v>38</v>
      </c>
      <c r="B10" s="45" t="str">
        <f t="shared" ca="1" si="0"/>
        <v>Discount on sales at 10%</v>
      </c>
      <c r="C10" s="46">
        <f t="shared" ca="1" si="1"/>
        <v>0</v>
      </c>
      <c r="D10" s="46">
        <f t="shared" ca="1" si="2"/>
        <v>0</v>
      </c>
      <c r="E10" s="46">
        <f t="shared" ca="1" si="3"/>
        <v>0</v>
      </c>
      <c r="F10" s="46">
        <f t="shared" ca="1" si="4"/>
        <v>0</v>
      </c>
      <c r="G10" s="47">
        <f t="shared" ca="1" si="5"/>
        <v>0</v>
      </c>
    </row>
    <row r="11" spans="1:7" s="7" customFormat="1" x14ac:dyDescent="0.25">
      <c r="A11" s="48"/>
      <c r="B11" s="49" t="s">
        <v>39</v>
      </c>
      <c r="C11" s="50">
        <f ca="1">SUM(C5:C10)</f>
        <v>-3800</v>
      </c>
      <c r="D11" s="50">
        <f t="shared" ref="D11:G11" ca="1" si="6">SUM(D5:D10)</f>
        <v>-280</v>
      </c>
      <c r="E11" s="50">
        <f t="shared" ca="1" si="6"/>
        <v>0</v>
      </c>
      <c r="F11" s="50">
        <f t="shared" ca="1" si="6"/>
        <v>-280</v>
      </c>
      <c r="G11" s="51">
        <f t="shared" ca="1" si="6"/>
        <v>5</v>
      </c>
    </row>
    <row r="12" spans="1:7" x14ac:dyDescent="0.25">
      <c r="A12" s="39"/>
      <c r="B12" s="40"/>
      <c r="C12" s="34"/>
      <c r="D12" s="33"/>
      <c r="E12" s="38"/>
      <c r="F12" s="38"/>
      <c r="G12" s="41"/>
    </row>
    <row r="13" spans="1:7" x14ac:dyDescent="0.25">
      <c r="A13" s="44" t="s">
        <v>44</v>
      </c>
      <c r="B13" s="45" t="str">
        <f ca="1">BVatDescription(File0,A13)</f>
        <v>Purchase goods at 5%</v>
      </c>
      <c r="C13" s="46">
        <f ca="1">BVatBalance(File0,$A13,"taxable")</f>
        <v>0</v>
      </c>
      <c r="D13" s="46">
        <f ca="1">BVatBalance(File0,$A13,"amount")</f>
        <v>0</v>
      </c>
      <c r="E13" s="46">
        <f ca="1">BVatBalance(File0,$A13,"notdeductible")</f>
        <v>0</v>
      </c>
      <c r="F13" s="46">
        <f ca="1">BVatBalance(File0,$A13,"posted")</f>
        <v>0</v>
      </c>
      <c r="G13" s="47">
        <f ca="1">BVatBalance(File0,$A13,"rowcount")</f>
        <v>0</v>
      </c>
    </row>
    <row r="14" spans="1:7" x14ac:dyDescent="0.25">
      <c r="A14" s="44" t="s">
        <v>45</v>
      </c>
      <c r="B14" s="45" t="str">
        <f ca="1">BVatDescription(File0,A14)</f>
        <v>Purchase goods at 10%</v>
      </c>
      <c r="C14" s="46">
        <f ca="1">BVatBalance(File0,$A14,"taxable")</f>
        <v>1550</v>
      </c>
      <c r="D14" s="46">
        <f ca="1">BVatBalance(File0,$A14,"amount")</f>
        <v>155</v>
      </c>
      <c r="E14" s="46">
        <f ca="1">BVatBalance(File0,$A14,"notdeductible")</f>
        <v>5</v>
      </c>
      <c r="F14" s="46">
        <f ca="1">BVatBalance(File0,$A14,"posted")</f>
        <v>150</v>
      </c>
      <c r="G14" s="47">
        <f ca="1">BVatBalance(File0,$A14,"rowcount")</f>
        <v>5</v>
      </c>
    </row>
    <row r="15" spans="1:7" x14ac:dyDescent="0.25">
      <c r="A15" s="44" t="s">
        <v>46</v>
      </c>
      <c r="B15" s="45" t="str">
        <f ca="1">BVatDescription(File0,A15)</f>
        <v>Discount on purchases at 5%</v>
      </c>
      <c r="C15" s="46">
        <f ca="1">BVatBalance(File0,$A15,"taxable")</f>
        <v>0</v>
      </c>
      <c r="D15" s="46">
        <f ca="1">BVatBalance(File0,$A15,"amount")</f>
        <v>0</v>
      </c>
      <c r="E15" s="46">
        <f ca="1">BVatBalance(File0,$A15,"notdeductible")</f>
        <v>0</v>
      </c>
      <c r="F15" s="46">
        <f ca="1">BVatBalance(File0,$A15,"posted")</f>
        <v>0</v>
      </c>
      <c r="G15" s="47">
        <f ca="1">BVatBalance(File0,$A15,"rowcount")</f>
        <v>0</v>
      </c>
    </row>
    <row r="16" spans="1:7" x14ac:dyDescent="0.25">
      <c r="A16" s="44" t="s">
        <v>47</v>
      </c>
      <c r="B16" s="45" t="str">
        <f ca="1">BVatDescription(File0,A16)</f>
        <v>Discount on purchases at 10%</v>
      </c>
      <c r="C16" s="46">
        <f ca="1">BVatBalance(File0,$A16,"taxable")</f>
        <v>0</v>
      </c>
      <c r="D16" s="46">
        <f ca="1">BVatBalance(File0,$A16,"amount")</f>
        <v>0</v>
      </c>
      <c r="E16" s="46">
        <f ca="1">BVatBalance(File0,$A16,"notdeductible")</f>
        <v>0</v>
      </c>
      <c r="F16" s="46">
        <f ca="1">BVatBalance(File0,$A16,"posted")</f>
        <v>0</v>
      </c>
      <c r="G16" s="47">
        <f ca="1">BVatBalance(File0,$A16,"rowcount")</f>
        <v>0</v>
      </c>
    </row>
    <row r="17" spans="1:7" x14ac:dyDescent="0.25">
      <c r="A17" s="45"/>
      <c r="B17" s="49" t="s">
        <v>48</v>
      </c>
      <c r="C17" s="50">
        <f ca="1">SUM(C13:C16)</f>
        <v>1550</v>
      </c>
      <c r="D17" s="50">
        <f t="shared" ref="D17:G17" ca="1" si="7">SUM(D13:D16)</f>
        <v>155</v>
      </c>
      <c r="E17" s="50">
        <f t="shared" ca="1" si="7"/>
        <v>5</v>
      </c>
      <c r="F17" s="50">
        <f t="shared" ca="1" si="7"/>
        <v>150</v>
      </c>
      <c r="G17" s="51">
        <f t="shared" ca="1" si="7"/>
        <v>5</v>
      </c>
    </row>
    <row r="18" spans="1:7" x14ac:dyDescent="0.25">
      <c r="A18" s="39"/>
      <c r="B18" s="39"/>
      <c r="C18" s="33"/>
      <c r="D18" s="33"/>
      <c r="E18" s="33"/>
      <c r="F18" s="33"/>
      <c r="G18" s="33"/>
    </row>
    <row r="19" spans="1:7" x14ac:dyDescent="0.25">
      <c r="A19" s="13"/>
      <c r="B19" s="8"/>
      <c r="C19" s="9"/>
    </row>
    <row r="20" spans="1:7" x14ac:dyDescent="0.25">
      <c r="A20" s="8"/>
      <c r="B20" s="15"/>
      <c r="C20" s="9"/>
    </row>
    <row r="21" spans="1:7" x14ac:dyDescent="0.25">
      <c r="A21" s="16"/>
      <c r="B21" s="9"/>
      <c r="C21" s="9"/>
    </row>
    <row r="22" spans="1:7" x14ac:dyDescent="0.25">
      <c r="A22" s="1"/>
    </row>
    <row r="23" spans="1:7" x14ac:dyDescent="0.25">
      <c r="A23" s="1"/>
      <c r="B23" s="13"/>
    </row>
    <row r="24" spans="1:7" x14ac:dyDescent="0.25">
      <c r="A24" s="18"/>
    </row>
    <row r="25" spans="1:7" x14ac:dyDescent="0.25">
      <c r="A25" s="18"/>
    </row>
    <row r="26" spans="1:7" x14ac:dyDescent="0.25">
      <c r="A26" s="22"/>
    </row>
    <row r="27" spans="1:7" x14ac:dyDescent="0.25">
      <c r="A27" s="21"/>
    </row>
    <row r="28" spans="1:7" x14ac:dyDescent="0.25">
      <c r="A28" s="21"/>
    </row>
    <row r="29" spans="1:7" x14ac:dyDescent="0.25">
      <c r="A29" s="21"/>
    </row>
    <row r="30" spans="1:7" x14ac:dyDescent="0.25">
      <c r="A30" s="21"/>
    </row>
    <row r="31" spans="1:7" x14ac:dyDescent="0.25">
      <c r="A31" s="21"/>
    </row>
    <row r="32" spans="1:7" x14ac:dyDescent="0.25">
      <c r="A32" s="21"/>
    </row>
    <row r="33" spans="1:2" x14ac:dyDescent="0.25">
      <c r="A33" s="21"/>
    </row>
    <row r="34" spans="1:2" x14ac:dyDescent="0.25">
      <c r="A34" s="21"/>
    </row>
    <row r="35" spans="1:2" x14ac:dyDescent="0.25">
      <c r="A35" s="21"/>
    </row>
    <row r="36" spans="1:2" x14ac:dyDescent="0.25">
      <c r="A36" s="21"/>
    </row>
    <row r="37" spans="1:2" x14ac:dyDescent="0.25">
      <c r="A37" s="2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3"/>
      <c r="B41" s="1"/>
    </row>
    <row r="42" spans="1:2" x14ac:dyDescent="0.25">
      <c r="A42" s="1"/>
      <c r="B42" s="1"/>
    </row>
    <row r="43" spans="1:2" x14ac:dyDescent="0.25">
      <c r="A43" s="1"/>
      <c r="B43" s="1"/>
    </row>
    <row r="44" spans="1:2" x14ac:dyDescent="0.25">
      <c r="A44" s="3"/>
      <c r="B44" s="1"/>
    </row>
    <row r="45" spans="1:2" x14ac:dyDescent="0.25">
      <c r="A45" s="4"/>
      <c r="B45" s="1"/>
    </row>
    <row r="46" spans="1:2" x14ac:dyDescent="0.25">
      <c r="A46" s="1"/>
      <c r="B46" s="1"/>
    </row>
    <row r="47" spans="1:2" x14ac:dyDescent="0.25">
      <c r="A47" s="1"/>
      <c r="B47" s="1"/>
    </row>
    <row r="48" spans="1:2" x14ac:dyDescent="0.25">
      <c r="A48" s="2"/>
      <c r="B48" s="1"/>
    </row>
    <row r="49" spans="1:2" x14ac:dyDescent="0.25">
      <c r="A49" s="1"/>
      <c r="B49" s="1"/>
    </row>
    <row r="50" spans="1:2" x14ac:dyDescent="0.25">
      <c r="A50" s="1"/>
      <c r="B50" s="1"/>
    </row>
    <row r="51" spans="1:2" x14ac:dyDescent="0.25">
      <c r="A51" s="1"/>
      <c r="B51" s="1"/>
    </row>
    <row r="52" spans="1:2" x14ac:dyDescent="0.25">
      <c r="A52" s="1"/>
      <c r="B52" s="1"/>
    </row>
    <row r="53" spans="1:2" x14ac:dyDescent="0.25">
      <c r="A53" s="4"/>
      <c r="B53" s="1"/>
    </row>
    <row r="54" spans="1:2" x14ac:dyDescent="0.25">
      <c r="A54" s="2"/>
      <c r="B54" s="1"/>
    </row>
    <row r="55" spans="1:2" x14ac:dyDescent="0.25">
      <c r="A55" s="1"/>
      <c r="B55" s="1"/>
    </row>
    <row r="56" spans="1:2" x14ac:dyDescent="0.25">
      <c r="A56" s="1"/>
      <c r="B56" s="1"/>
    </row>
    <row r="57" spans="1:2" x14ac:dyDescent="0.25">
      <c r="A57" s="1"/>
      <c r="B57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5</vt:i4>
      </vt:variant>
    </vt:vector>
  </HeadingPairs>
  <TitlesOfParts>
    <vt:vector size="7" baseType="lpstr">
      <vt:lpstr>Start</vt:lpstr>
      <vt:lpstr>Current &amp; Last Yeat</vt:lpstr>
      <vt:lpstr>DisableConnection</vt:lpstr>
      <vt:lpstr>'Current &amp; Last Yeat'!Druckbereich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cp:lastPrinted>2015-11-28T15:06:09Z</cp:lastPrinted>
  <dcterms:created xsi:type="dcterms:W3CDTF">2014-07-24T08:59:22Z</dcterms:created>
  <dcterms:modified xsi:type="dcterms:W3CDTF">2016-05-25T08:40:37Z</dcterms:modified>
</cp:coreProperties>
</file>