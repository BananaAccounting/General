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P:\L\GitHubDomenico\General\ExcelFunctions\"/>
    </mc:Choice>
  </mc:AlternateContent>
  <bookViews>
    <workbookView xWindow="18090" yWindow="150" windowWidth="25350" windowHeight="12705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52511"/>
</workbook>
</file>

<file path=xl/calcChain.xml><?xml version="1.0" encoding="utf-8"?>
<calcChain xmlns="http://schemas.openxmlformats.org/spreadsheetml/2006/main">
  <c r="B11" i="1" l="1"/>
  <c r="B12" i="1"/>
  <c r="B13" i="1"/>
  <c r="A55" i="6" l="1"/>
  <c r="A56" i="6" s="1"/>
  <c r="A57" i="6" s="1"/>
  <c r="A58" i="6" s="1"/>
  <c r="A59" i="6" s="1"/>
  <c r="A60" i="6" s="1"/>
  <c r="A61" i="6" s="1"/>
  <c r="A62" i="6" s="1"/>
  <c r="A63" i="6" s="1"/>
  <c r="A64" i="6" s="1"/>
  <c r="B55" i="6"/>
  <c r="B51" i="6"/>
  <c r="B57" i="6"/>
  <c r="B58" i="6"/>
  <c r="D5" i="6"/>
  <c r="B3" i="1"/>
  <c r="B64" i="6"/>
  <c r="B59" i="6"/>
  <c r="B61" i="6"/>
  <c r="B62" i="6"/>
  <c r="B60" i="6"/>
  <c r="F25" i="6"/>
  <c r="B56" i="6"/>
  <c r="E25" i="6"/>
  <c r="D24" i="6"/>
  <c r="D25" i="6"/>
  <c r="B54" i="6"/>
  <c r="B63" i="6"/>
  <c r="E6" i="6"/>
  <c r="E24" i="6"/>
  <c r="F24" i="6"/>
  <c r="F28" i="6"/>
  <c r="E28" i="6"/>
  <c r="D11" i="2"/>
  <c r="D42" i="6"/>
  <c r="F11" i="6"/>
  <c r="C6" i="2"/>
  <c r="D20" i="6"/>
  <c r="E37" i="6"/>
  <c r="E41" i="6"/>
  <c r="E42" i="6"/>
  <c r="D31" i="6"/>
  <c r="B12" i="2"/>
  <c r="B42" i="6"/>
  <c r="F34" i="6"/>
  <c r="E20" i="6"/>
  <c r="F41" i="6"/>
  <c r="B18" i="6"/>
  <c r="D10" i="2"/>
  <c r="D17" i="6"/>
  <c r="F5" i="2"/>
  <c r="H5" i="3"/>
  <c r="F17" i="6"/>
  <c r="D41" i="6"/>
  <c r="D38" i="6"/>
  <c r="E17" i="6"/>
  <c r="B9" i="6"/>
  <c r="F13" i="2"/>
  <c r="B21" i="6"/>
  <c r="F13" i="6"/>
  <c r="E11" i="2"/>
  <c r="F10" i="2"/>
  <c r="D6" i="2"/>
  <c r="E11" i="6"/>
  <c r="B48" i="6"/>
  <c r="E34" i="6"/>
  <c r="E31" i="6"/>
  <c r="H4" i="3"/>
  <c r="E6" i="2"/>
  <c r="E38" i="6"/>
  <c r="C11" i="2"/>
  <c r="D37" i="6"/>
  <c r="G4" i="3"/>
  <c r="G5" i="3"/>
  <c r="C13" i="2"/>
  <c r="D21" i="6"/>
  <c r="B34" i="6"/>
  <c r="B17" i="6"/>
  <c r="D16" i="6"/>
  <c r="E9" i="6"/>
  <c r="B47" i="6"/>
  <c r="D6" i="3"/>
  <c r="D13" i="6"/>
  <c r="B37" i="6"/>
  <c r="B11" i="6"/>
  <c r="B31" i="6"/>
  <c r="E13" i="6"/>
  <c r="D28" i="6"/>
  <c r="E21" i="6"/>
  <c r="C10" i="2"/>
  <c r="F16" i="6"/>
  <c r="E12" i="2"/>
  <c r="F31" i="6"/>
  <c r="B6" i="3"/>
  <c r="B20" i="6"/>
  <c r="G11" i="2"/>
  <c r="C7" i="2"/>
  <c r="F7" i="2"/>
  <c r="C5" i="3"/>
  <c r="B24" i="6"/>
  <c r="D4" i="2"/>
  <c r="D11" i="6"/>
  <c r="B16" i="6"/>
  <c r="B45" i="6"/>
  <c r="G6" i="3"/>
  <c r="B5" i="2"/>
  <c r="D7" i="2"/>
  <c r="G5" i="2"/>
  <c r="F42" i="6"/>
  <c r="E16" i="6"/>
  <c r="B28" i="6"/>
  <c r="F20" i="6"/>
  <c r="D12" i="2"/>
  <c r="E7" i="2"/>
  <c r="B5" i="3"/>
  <c r="E5" i="2"/>
  <c r="F37" i="6"/>
  <c r="B49" i="6"/>
  <c r="B41" i="6"/>
  <c r="G10" i="2"/>
  <c r="C4" i="2"/>
  <c r="D34" i="6"/>
  <c r="B46" i="6"/>
  <c r="C6" i="3"/>
  <c r="B38" i="6"/>
  <c r="D13" i="2"/>
  <c r="D4" i="3"/>
  <c r="B25" i="6"/>
  <c r="D5" i="3"/>
  <c r="F4" i="2"/>
  <c r="F38" i="6"/>
  <c r="C5" i="2"/>
  <c r="B11" i="2"/>
  <c r="B6" i="2"/>
  <c r="G7" i="2"/>
  <c r="C12" i="2"/>
  <c r="F12" i="2"/>
  <c r="G6" i="2"/>
  <c r="D5" i="2"/>
  <c r="G12" i="2"/>
  <c r="G13" i="2"/>
  <c r="E4" i="2"/>
  <c r="F11" i="2"/>
  <c r="D9" i="6"/>
  <c r="C4" i="3"/>
  <c r="F6" i="2"/>
  <c r="F21" i="6"/>
  <c r="G4" i="2"/>
  <c r="H6" i="3"/>
  <c r="E10" i="2"/>
  <c r="E13" i="2"/>
  <c r="F9" i="6"/>
  <c r="E4" i="6"/>
  <c r="F6" i="6"/>
  <c r="G7" i="3" l="1"/>
  <c r="E6" i="3"/>
  <c r="F6" i="3"/>
  <c r="H7" i="3"/>
  <c r="J5" i="3"/>
  <c r="I5" i="3"/>
  <c r="J6" i="3"/>
  <c r="I6" i="3"/>
  <c r="F4" i="3"/>
  <c r="E4" i="3"/>
  <c r="C7" i="3"/>
  <c r="J4" i="3"/>
  <c r="I4" i="3"/>
  <c r="C6" i="1"/>
  <c r="E5" i="3" l="1"/>
  <c r="F5" i="3"/>
  <c r="D7" i="3"/>
  <c r="E7" i="3" s="1"/>
  <c r="J7" i="3"/>
  <c r="I7" i="3"/>
  <c r="F7" i="3" l="1"/>
</calcChain>
</file>

<file path=xl/sharedStrings.xml><?xml version="1.0" encoding="utf-8"?>
<sst xmlns="http://schemas.openxmlformats.org/spreadsheetml/2006/main" count="107" uniqueCount="82">
  <si>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</si>
  <si>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</si>
  <si>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</si>
  <si>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</si>
  <si>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</si>
  <si>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</si>
  <si>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</si>
  <si>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</si>
  <si>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</si>
  <si>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</si>
  <si>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</si>
  <si>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</si>
  <si>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</si>
  <si>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</si>
  <si>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</si>
  <si>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</si>
  <si>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</si>
  <si>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</si>
  <si>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</si>
  <si>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</si>
  <si>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</si>
  <si>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</si>
  <si>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</si>
  <si>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</si>
  <si>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</si>
  <si>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</si>
  <si>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Debit</t>
  </si>
  <si>
    <t>Credit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</si>
  <si>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</si>
  <si>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</si>
  <si>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</si>
  <si>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</si>
  <si>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</si>
  <si>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</si>
  <si>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company-2015.ac2</t>
  </si>
  <si>
    <t>company-2014.ac2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</si>
  <si>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</si>
  <si>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</si>
  <si>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</si>
  <si>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</si>
  <si>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</si>
  <si>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</si>
  <si>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</si>
  <si>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</si>
  <si>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</si>
  <si>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</si>
  <si>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</si>
  <si>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</si>
  <si>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</si>
  <si>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</si>
  <si>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</si>
  <si>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</si>
  <si>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</si>
  <si>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</si>
  <si>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</si>
  <si>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</si>
  <si>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</si>
  <si>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</si>
  <si>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</si>
  <si>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</si>
  <si>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</si>
  <si>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</si>
  <si>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</si>
  <si>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</si>
  <si>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</si>
  <si>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</si>
  <si>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</si>
  <si>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</si>
  <si>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</si>
  <si>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</si>
  <si>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</si>
  <si>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</si>
  <si>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</si>
  <si>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</si>
  <si>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</si>
  <si>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company-2013.ac2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</si>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</sst>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* #,##0.00_ ;_ * \-#,##0.00_ ;_ * &quot;-&quot;??_ ;_ @_ "/>
    <numFmt numFmtId="165" formatCode="[$-F800]dddd\,\ mmmm\ dd\,\ yyyy"/>
    <numFmt numFmtId="166" formatCode="0.0%"/>
  </numFmts>
  <fonts count="19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164" fontId="8" fillId="0" borderId="0" xfId="1" applyFont="1"/>
    <xf numFmtId="165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6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</cellXfs>
  <cellStyles count="4">
    <cellStyle name="Komma" xfId="1" builtinId="3"/>
    <cellStyle name="Link" xfId="3" builtinId="8"/>
    <cellStyle name="Prozent" xfId="2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 * #,##0.00_ ;_ * \-#,##0.00_ ;_ * "-"??_ ;_ @_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#WERT!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 * #,##0.00_ ;_ * \-#,##0.00_ ;_ * "-"??_ ;_ @_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#WERT!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 * #,##0.00_ ;_ * \-#,##0.00_ ;_ * "-"??_ ;_ @_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1209664"/>
        <c:axId val="1241208032"/>
      </c:barChart>
      <c:catAx>
        <c:axId val="1241209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1208032"/>
        <c:crosses val="autoZero"/>
        <c:auto val="1"/>
        <c:lblAlgn val="ctr"/>
        <c:lblOffset val="100"/>
        <c:noMultiLvlLbl val="0"/>
      </c:catAx>
      <c:valAx>
        <c:axId val="12412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120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#WERT!</c:v>
                </c:pt>
                <c:pt idx="3">
                  <c:v>#WERT!</c:v>
                </c:pt>
              </c:strCache>
            </c:strRef>
          </c:cat>
          <c:val>
            <c:numRef>
              <c:f>'Example Evolution'!$C$9:$C$12</c:f>
              <c:numCache>
                <c:formatCode>_ * #,##0.00_ ;_ * \-#,##0.00_ ;_ * "-"??_ ;_ @_ 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#WERT!</c:v>
                </c:pt>
                <c:pt idx="3">
                  <c:v>#WERT!</c:v>
                </c:pt>
              </c:strCache>
            </c:strRef>
          </c:cat>
          <c:val>
            <c:numRef>
              <c:f>'Example Evolution'!$D$9:$D$12</c:f>
              <c:numCache>
                <c:formatCode>_ * #,##0.00_ ;_ * \-#,##0.00_ ;_ * "-"??_ ;_ @_ 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#WERT!</c:v>
                </c:pt>
                <c:pt idx="3">
                  <c:v>#WERT!</c:v>
                </c:pt>
              </c:strCache>
            </c:strRef>
          </c:cat>
          <c:val>
            <c:numRef>
              <c:f>'Example Evolution'!$E$9:$E$12</c:f>
              <c:numCache>
                <c:formatCode>_ * #,##0.00_ ;_ * \-#,##0.00_ ;_ * "-"??_ ;_ @_ 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1211840"/>
        <c:axId val="1241199328"/>
      </c:barChart>
      <c:catAx>
        <c:axId val="124121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1199328"/>
        <c:crosses val="autoZero"/>
        <c:auto val="1"/>
        <c:lblAlgn val="ctr"/>
        <c:lblOffset val="100"/>
        <c:noMultiLvlLbl val="0"/>
      </c:catAx>
      <c:valAx>
        <c:axId val="124119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121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#WERT!</c:v>
                </c:pt>
                <c:pt idx="2">
                  <c:v>#WERT!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 * #,##0.00_ ;_ * \-#,##0.00_ ;_ * "-"??_ ;_ 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#WERT!</c:v>
                </c:pt>
                <c:pt idx="2">
                  <c:v>#WERT!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 * #,##0.00_ ;_ * \-#,##0.00_ ;_ * "-"??_ ;_ 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1199872"/>
        <c:axId val="1241197152"/>
      </c:barChart>
      <c:catAx>
        <c:axId val="124119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1197152"/>
        <c:crosses val="autoZero"/>
        <c:auto val="1"/>
        <c:lblAlgn val="ctr"/>
        <c:lblOffset val="100"/>
        <c:noMultiLvlLbl val="0"/>
      </c:catAx>
      <c:valAx>
        <c:axId val="124119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119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tabSelected="1" workbookViewId="0">
      <selection activeCell="B11" sqref="B11:B12"/>
    </sheetView>
  </sheetViews>
  <sheetFormatPr baseColWidth="10" defaultColWidth="9.140625" defaultRowHeight="15" x14ac:dyDescent="0.2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6" ht="15.75" x14ac:dyDescent="0.25">
      <c r="A1" s="6"/>
    </row>
    <row r="2" spans="1:6" x14ac:dyDescent="0.25">
      <c r="A2" s="21" t="s">
        <v>6</v>
      </c>
      <c r="B2" s="20" t="s">
        <v>61</v>
      </c>
    </row>
    <row r="3" spans="1:6" x14ac:dyDescent="0.25">
      <c r="A3" s="21"/>
      <c r="B3" s="25" t="str">
        <f>BFunctionsVersion()</f>
        <v>2015-10-06</v>
      </c>
    </row>
    <row r="4" spans="1:6" x14ac:dyDescent="0.25">
      <c r="A4" s="21"/>
    </row>
    <row r="5" spans="1:6" x14ac:dyDescent="0.25">
      <c r="B5" s="29"/>
      <c r="E5" s="26"/>
    </row>
    <row r="6" spans="1:6" x14ac:dyDescent="0.25">
      <c r="A6" s="20" t="s">
        <v>70</v>
      </c>
      <c r="B6" s="22" t="s">
        <v>34</v>
      </c>
      <c r="C6" t="str">
        <f>IF(B11="","Banana not open, file not open or WebServer not active","Banana Connection OK")</f>
        <v>Banana Connection OK</v>
      </c>
    </row>
    <row r="7" spans="1:6" x14ac:dyDescent="0.25">
      <c r="A7" s="20" t="s">
        <v>72</v>
      </c>
      <c r="B7" s="22" t="s">
        <v>35</v>
      </c>
    </row>
    <row r="8" spans="1:6" x14ac:dyDescent="0.25">
      <c r="A8" s="20" t="s">
        <v>73</v>
      </c>
      <c r="B8" s="22" t="s">
        <v>75</v>
      </c>
    </row>
    <row r="9" spans="1:6" x14ac:dyDescent="0.25">
      <c r="B9" s="31"/>
    </row>
    <row r="10" spans="1:6" x14ac:dyDescent="0.25">
      <c r="B10" s="31"/>
      <c r="C10" t="s">
        <v>76</v>
      </c>
    </row>
    <row r="11" spans="1:6" x14ac:dyDescent="0.25">
      <c r="A11" s="20" t="s">
        <v>66</v>
      </c>
      <c r="B11" s="20" t="str">
        <f>BFileName( B6,DisableConnection)</f>
        <v>company-2015.ac2</v>
      </c>
      <c r="C11" t="s">
        <v>71</v>
      </c>
    </row>
    <row r="12" spans="1:6" x14ac:dyDescent="0.25">
      <c r="A12" s="20" t="s">
        <v>67</v>
      </c>
      <c r="B12" s="20" t="str">
        <f>BFileName( B7,DisableConnection)</f>
        <v>company-2014.ac2</v>
      </c>
      <c r="C12" t="s">
        <v>78</v>
      </c>
    </row>
    <row r="13" spans="1:6" x14ac:dyDescent="0.25">
      <c r="A13" s="20" t="s">
        <v>74</v>
      </c>
      <c r="B13" s="20" t="str">
        <f>BFileName( B8,DisableConnection)</f>
        <v/>
      </c>
    </row>
    <row r="15" spans="1:6" x14ac:dyDescent="0.25">
      <c r="A15" s="20" t="s">
        <v>79</v>
      </c>
      <c r="B15" s="37"/>
      <c r="C15" t="s">
        <v>80</v>
      </c>
      <c r="D15" s="5"/>
    </row>
    <row r="16" spans="1:6" x14ac:dyDescent="0.25">
      <c r="C16" t="s">
        <v>81</v>
      </c>
      <c r="E16" s="12"/>
      <c r="F16" s="12"/>
    </row>
    <row r="17" spans="1:6" s="7" customFormat="1" x14ac:dyDescent="0.25">
      <c r="A17" s="10"/>
      <c r="B17" s="11"/>
      <c r="C17" s="11"/>
      <c r="D17" s="12"/>
      <c r="E17" s="12"/>
      <c r="F17" s="12"/>
    </row>
    <row r="18" spans="1:6" s="7" customFormat="1" ht="18" x14ac:dyDescent="0.25">
      <c r="A18" s="34" t="s">
        <v>68</v>
      </c>
      <c r="B18" s="11"/>
      <c r="C18" s="11"/>
      <c r="D18" s="12"/>
      <c r="E18" s="12"/>
      <c r="F18" s="12"/>
    </row>
    <row r="19" spans="1:6" s="7" customFormat="1" ht="15.75" x14ac:dyDescent="0.25">
      <c r="A19" s="32" t="s">
        <v>7</v>
      </c>
      <c r="B19" s="11"/>
      <c r="C19" s="11"/>
      <c r="D19" s="12"/>
      <c r="E19" s="12"/>
      <c r="F19" s="12"/>
    </row>
    <row r="20" spans="1:6" s="7" customFormat="1" x14ac:dyDescent="0.25">
      <c r="A20" t="s">
        <v>69</v>
      </c>
      <c r="B20" s="11"/>
      <c r="C20" s="11"/>
      <c r="D20" s="12"/>
      <c r="E20" s="12"/>
      <c r="F20" s="12"/>
    </row>
    <row r="21" spans="1:6" s="7" customFormat="1" x14ac:dyDescent="0.25">
      <c r="A21" t="s">
        <v>51</v>
      </c>
      <c r="B21" s="11"/>
      <c r="C21" s="11"/>
      <c r="D21" s="12"/>
      <c r="E21" s="12"/>
      <c r="F21" s="12"/>
    </row>
    <row r="22" spans="1:6" s="7" customFormat="1" x14ac:dyDescent="0.25">
      <c r="A22" t="s">
        <v>55</v>
      </c>
      <c r="B22" s="11"/>
      <c r="C22" s="11"/>
      <c r="D22" s="12"/>
      <c r="E22" s="12"/>
      <c r="F22" s="12"/>
    </row>
    <row r="23" spans="1:6" s="7" customFormat="1" x14ac:dyDescent="0.25">
      <c r="A23" s="31"/>
      <c r="B23" s="11"/>
      <c r="C23" s="11"/>
      <c r="D23" s="12"/>
      <c r="E23" s="12"/>
      <c r="F23" s="12"/>
    </row>
    <row r="24" spans="1:6" s="7" customFormat="1" x14ac:dyDescent="0.25">
      <c r="A24"/>
      <c r="B24" s="14"/>
      <c r="C24" s="14"/>
      <c r="D24" s="12"/>
      <c r="E24" s="12"/>
      <c r="F24" s="12"/>
    </row>
    <row r="25" spans="1:6" s="7" customFormat="1" ht="18.75" x14ac:dyDescent="0.3">
      <c r="A25" s="35" t="s">
        <v>53</v>
      </c>
      <c r="B25" s="11"/>
      <c r="C25" s="11"/>
      <c r="D25" s="12"/>
      <c r="E25" s="12"/>
      <c r="F25" s="12"/>
    </row>
    <row r="26" spans="1:6" s="7" customFormat="1" x14ac:dyDescent="0.25">
      <c r="A26" s="36" t="s">
        <v>77</v>
      </c>
      <c r="B26" s="11"/>
      <c r="C26" s="11"/>
      <c r="D26" s="12"/>
      <c r="E26" s="12"/>
      <c r="F26" s="12"/>
    </row>
    <row r="27" spans="1:6" s="7" customFormat="1" x14ac:dyDescent="0.25">
      <c r="A27" s="25" t="s">
        <v>40</v>
      </c>
      <c r="B27" s="11"/>
      <c r="C27" s="11"/>
      <c r="D27" s="12"/>
      <c r="E27" s="12"/>
      <c r="F27" s="12"/>
    </row>
    <row r="28" spans="1:6" x14ac:dyDescent="0.25">
      <c r="A28" s="25" t="s">
        <v>41</v>
      </c>
      <c r="B28" s="14"/>
      <c r="C28" s="14"/>
      <c r="D28" s="16"/>
      <c r="E28" s="16"/>
      <c r="F28" s="16"/>
    </row>
    <row r="29" spans="1:6" x14ac:dyDescent="0.25">
      <c r="A29" s="25" t="s">
        <v>42</v>
      </c>
      <c r="B29" s="11"/>
      <c r="C29" s="11"/>
      <c r="D29" s="16"/>
      <c r="E29" s="16"/>
      <c r="F29" s="16"/>
    </row>
    <row r="30" spans="1:6" x14ac:dyDescent="0.25">
      <c r="A30" s="25" t="s">
        <v>43</v>
      </c>
      <c r="B30" s="11"/>
      <c r="C30" s="11"/>
      <c r="D30" s="16"/>
      <c r="E30" s="16"/>
      <c r="F30" s="16"/>
    </row>
    <row r="31" spans="1:6" x14ac:dyDescent="0.25">
      <c r="A31" s="25" t="s">
        <v>40</v>
      </c>
      <c r="B31" s="11"/>
      <c r="C31" s="11"/>
      <c r="D31" s="16"/>
      <c r="E31" s="16"/>
      <c r="F31" s="16"/>
    </row>
    <row r="32" spans="1:6" x14ac:dyDescent="0.25">
      <c r="A32" s="30" t="s">
        <v>44</v>
      </c>
      <c r="B32" s="14"/>
      <c r="C32" s="14"/>
      <c r="D32" s="16"/>
      <c r="E32" s="16"/>
      <c r="F32" s="16"/>
    </row>
    <row r="33" spans="1:6" x14ac:dyDescent="0.25">
      <c r="A33" s="25" t="s">
        <v>40</v>
      </c>
      <c r="B33" s="11"/>
      <c r="C33" s="11"/>
      <c r="D33" s="12"/>
      <c r="E33" s="12"/>
      <c r="F33" s="12"/>
    </row>
    <row r="34" spans="1:6" x14ac:dyDescent="0.25">
      <c r="A34" s="25" t="s">
        <v>45</v>
      </c>
      <c r="B34" s="11"/>
      <c r="C34" s="11"/>
      <c r="D34" s="12"/>
      <c r="E34" s="12"/>
      <c r="F34" s="12"/>
    </row>
    <row r="35" spans="1:6" x14ac:dyDescent="0.25">
      <c r="A35" s="25" t="s">
        <v>46</v>
      </c>
      <c r="B35" s="11"/>
      <c r="C35" s="11"/>
      <c r="D35" s="12"/>
      <c r="E35" s="12"/>
      <c r="F35" s="12"/>
    </row>
    <row r="36" spans="1:6" x14ac:dyDescent="0.25">
      <c r="A36" s="25" t="s">
        <v>47</v>
      </c>
      <c r="B36" s="19"/>
      <c r="C36" s="19"/>
      <c r="D36" s="9"/>
      <c r="E36" s="9"/>
      <c r="F36" s="9"/>
    </row>
    <row r="37" spans="1:6" x14ac:dyDescent="0.25">
      <c r="A37" s="25" t="s">
        <v>48</v>
      </c>
      <c r="B37" s="11"/>
      <c r="C37" s="11"/>
      <c r="D37" s="12"/>
      <c r="E37" s="12"/>
      <c r="F37" s="12"/>
    </row>
    <row r="38" spans="1:6" x14ac:dyDescent="0.25">
      <c r="A38" s="25" t="s">
        <v>49</v>
      </c>
      <c r="B38" s="11"/>
      <c r="C38" s="11"/>
      <c r="D38" s="12"/>
      <c r="E38" s="12"/>
      <c r="F38" s="12"/>
    </row>
    <row r="39" spans="1:6" x14ac:dyDescent="0.25">
      <c r="A39" s="8"/>
      <c r="B39" s="19"/>
      <c r="C39" s="19"/>
      <c r="D39" s="9"/>
      <c r="E39" s="9"/>
      <c r="F39" s="9"/>
    </row>
    <row r="40" spans="1:6" x14ac:dyDescent="0.25">
      <c r="A40" s="10"/>
      <c r="B40" s="11"/>
      <c r="C40" s="11"/>
      <c r="D40" s="12"/>
      <c r="E40" s="12"/>
      <c r="F40" s="12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4"/>
      <c r="C42" s="14"/>
      <c r="D42" s="12"/>
      <c r="E42" s="12"/>
      <c r="F42" s="12"/>
    </row>
    <row r="43" spans="1:6" x14ac:dyDescent="0.25">
      <c r="A43" s="10"/>
      <c r="B43" s="11"/>
      <c r="C43" s="11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1"/>
      <c r="B45" s="14"/>
      <c r="C45" s="14"/>
      <c r="D45" s="9"/>
      <c r="E45" s="9"/>
      <c r="F45" s="9"/>
    </row>
    <row r="46" spans="1:6" x14ac:dyDescent="0.25">
      <c r="A46" s="11"/>
      <c r="B46" s="8"/>
      <c r="C46" s="8"/>
      <c r="D46" s="9"/>
      <c r="E46" s="9"/>
      <c r="F46" s="9"/>
    </row>
    <row r="47" spans="1:6" x14ac:dyDescent="0.25">
      <c r="A47" s="14"/>
      <c r="B47" s="8"/>
      <c r="C47" s="8"/>
      <c r="D47" s="9"/>
      <c r="E47" s="9"/>
      <c r="F47" s="9"/>
    </row>
    <row r="48" spans="1:6" x14ac:dyDescent="0.25">
      <c r="A48" s="8"/>
      <c r="B48" s="17"/>
      <c r="C48" s="17"/>
      <c r="D48" s="9"/>
      <c r="E48" s="9"/>
      <c r="F48" s="9"/>
    </row>
    <row r="49" spans="1:6" x14ac:dyDescent="0.25">
      <c r="A49" s="18"/>
      <c r="B49" s="9"/>
      <c r="C49" s="9"/>
      <c r="D49" s="9"/>
      <c r="E49" s="9"/>
      <c r="F49" s="9"/>
    </row>
    <row r="50" spans="1:6" x14ac:dyDescent="0.25">
      <c r="A50" s="1"/>
    </row>
    <row r="51" spans="1:6" x14ac:dyDescent="0.25">
      <c r="A51" s="1"/>
      <c r="B51" s="14"/>
      <c r="C51" s="1"/>
    </row>
    <row r="52" spans="1:6" x14ac:dyDescent="0.25"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A58" s="1"/>
      <c r="B58" s="1"/>
      <c r="C58" s="1"/>
    </row>
    <row r="59" spans="1:6" x14ac:dyDescent="0.25">
      <c r="A59" s="2"/>
      <c r="B59" s="1"/>
      <c r="C59" s="1"/>
    </row>
    <row r="60" spans="1:6" x14ac:dyDescent="0.25">
      <c r="A60" s="1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2"/>
      <c r="B63" s="1"/>
      <c r="C63" s="1"/>
    </row>
    <row r="64" spans="1:6" x14ac:dyDescent="0.25">
      <c r="A64" s="3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3"/>
      <c r="B71" s="1"/>
      <c r="C71" s="1"/>
    </row>
    <row r="72" spans="1:3" x14ac:dyDescent="0.25">
      <c r="A72" s="4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2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4"/>
      <c r="B80" s="1"/>
      <c r="C80" s="1"/>
    </row>
    <row r="81" spans="1:3" x14ac:dyDescent="0.25">
      <c r="A81" s="2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84"/>
  <sheetViews>
    <sheetView topLeftCell="A34" workbookViewId="0">
      <selection activeCell="B47" sqref="B47"/>
    </sheetView>
  </sheetViews>
  <sheetFormatPr baseColWidth="10" defaultColWidth="9.140625" defaultRowHeight="15" x14ac:dyDescent="0.25"/>
  <cols>
    <col min="1" max="1" width="28.140625" customWidth="1"/>
    <col min="2" max="2" width="42.140625" customWidth="1"/>
    <col min="3" max="3" width="15.28515625" customWidth="1"/>
    <col min="4" max="4" width="16" customWidth="1"/>
    <col min="5" max="5" width="13.42578125" customWidth="1"/>
    <col min="6" max="6" width="12.85546875" customWidth="1"/>
  </cols>
  <sheetData>
    <row r="1" spans="1:6" ht="15.75" x14ac:dyDescent="0.25">
      <c r="A1" s="6" t="s">
        <v>54</v>
      </c>
    </row>
    <row r="2" spans="1:6" ht="15.75" x14ac:dyDescent="0.25">
      <c r="A2" s="6"/>
    </row>
    <row r="3" spans="1:6" x14ac:dyDescent="0.25">
      <c r="A3" t="s">
        <v>1</v>
      </c>
      <c r="D3" s="5">
        <v>42005</v>
      </c>
    </row>
    <row r="4" spans="1:6" x14ac:dyDescent="0.25">
      <c r="A4" t="s">
        <v>0</v>
      </c>
      <c r="D4" s="5">
        <v>42063</v>
      </c>
      <c r="E4" s="33">
        <f>BStartPeriod(File0,E5)</f>
        <v>42005</v>
      </c>
    </row>
    <row r="5" spans="1:6" x14ac:dyDescent="0.25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 x14ac:dyDescent="0.25">
      <c r="B6" s="20" t="s">
        <v>21</v>
      </c>
      <c r="C6" s="25" t="s">
        <v>28</v>
      </c>
      <c r="E6" s="33">
        <f>BStartPeriod(File0,E$5)</f>
        <v>42005</v>
      </c>
      <c r="F6" s="33">
        <f>BEndPeriod(File0,F$5)</f>
        <v>42094</v>
      </c>
    </row>
    <row r="7" spans="1:6" x14ac:dyDescent="0.25">
      <c r="E7" s="12"/>
      <c r="F7" s="12"/>
    </row>
    <row r="8" spans="1:6" x14ac:dyDescent="0.25">
      <c r="A8" s="8"/>
      <c r="B8" s="19" t="s">
        <v>17</v>
      </c>
      <c r="C8" s="19"/>
      <c r="D8" s="9"/>
      <c r="E8" s="9"/>
      <c r="F8" s="9"/>
    </row>
    <row r="9" spans="1:6" x14ac:dyDescent="0.25">
      <c r="A9" s="10">
        <v>1000</v>
      </c>
      <c r="B9" s="11" t="str">
        <f ca="1">BAccountDescription(File0,A9)</f>
        <v xml:space="preserve">Cash </v>
      </c>
      <c r="C9" s="11" t="s">
        <v>29</v>
      </c>
      <c r="D9" s="12">
        <f ca="1">BOpening(File0,$A9,D$5)</f>
        <v>17570</v>
      </c>
      <c r="E9" s="12">
        <f ca="1">BOpening(File0,$A9,E$5)</f>
        <v>17570</v>
      </c>
      <c r="F9" s="12">
        <f ca="1">BOpening(File0,$A9,F$5)</f>
        <v>17570</v>
      </c>
    </row>
    <row r="10" spans="1:6" x14ac:dyDescent="0.25">
      <c r="A10" s="8"/>
      <c r="B10" s="8" t="s">
        <v>12</v>
      </c>
      <c r="C10" s="8"/>
      <c r="D10" s="9"/>
      <c r="E10" s="9"/>
      <c r="F10" s="9"/>
    </row>
    <row r="11" spans="1:6" s="7" customFormat="1" x14ac:dyDescent="0.25">
      <c r="A11" s="10">
        <v>1000</v>
      </c>
      <c r="B11" s="11" t="str">
        <f ca="1">BAccountDescription(File0,A11)</f>
        <v xml:space="preserve">Cash </v>
      </c>
      <c r="C11" s="11"/>
      <c r="D11" s="12">
        <f ca="1">BBalance(File0,$A11,D$5)</f>
        <v>31940</v>
      </c>
      <c r="E11" s="12">
        <f ca="1">BBalance(File0,$A11,E$5)</f>
        <v>29140</v>
      </c>
      <c r="F11" s="12">
        <f ca="1">BBalance(File0,$A11,F$5)</f>
        <v>31940</v>
      </c>
    </row>
    <row r="12" spans="1:6" s="7" customFormat="1" x14ac:dyDescent="0.25">
      <c r="A12" s="10"/>
      <c r="B12" s="11"/>
      <c r="C12" s="11"/>
      <c r="D12" s="12"/>
      <c r="E12" s="12"/>
      <c r="F12" s="12"/>
    </row>
    <row r="13" spans="1:6" s="7" customFormat="1" x14ac:dyDescent="0.25">
      <c r="A13" s="10" t="s">
        <v>14</v>
      </c>
      <c r="B13" s="11" t="s">
        <v>13</v>
      </c>
      <c r="C13" s="11"/>
      <c r="D13" s="12">
        <f ca="1">BBalance(File0,$A13,D$5)</f>
        <v>18988</v>
      </c>
      <c r="E13" s="12">
        <f ca="1">BBalance(File0,$A13,E$5)</f>
        <v>17438</v>
      </c>
      <c r="F13" s="12">
        <f ca="1">BBalance(File0,$A13,F$5)</f>
        <v>17738</v>
      </c>
    </row>
    <row r="14" spans="1:6" s="7" customFormat="1" x14ac:dyDescent="0.25">
      <c r="A14" s="10"/>
      <c r="B14" s="11"/>
      <c r="C14" s="11"/>
      <c r="D14" s="12"/>
      <c r="E14" s="12"/>
      <c r="F14" s="12"/>
    </row>
    <row r="15" spans="1:6" s="7" customFormat="1" x14ac:dyDescent="0.25">
      <c r="A15" s="13"/>
      <c r="B15" s="14" t="s">
        <v>11</v>
      </c>
      <c r="C15" s="14"/>
      <c r="D15" s="12"/>
      <c r="E15" s="12"/>
      <c r="F15" s="12"/>
    </row>
    <row r="16" spans="1:6" s="7" customFormat="1" x14ac:dyDescent="0.25">
      <c r="A16" s="10">
        <v>4100</v>
      </c>
      <c r="B16" s="11" t="str">
        <f ca="1">BAccountDescription(File0,A16)</f>
        <v>Income from sales</v>
      </c>
      <c r="C16" s="11" t="s">
        <v>30</v>
      </c>
      <c r="D16" s="12">
        <f t="shared" ref="D16:F17" ca="1" si="0">BTotal(File0,$A16,D$5)</f>
        <v>-8454</v>
      </c>
      <c r="E16" s="12">
        <f t="shared" ca="1" si="0"/>
        <v>-5909</v>
      </c>
      <c r="F16" s="12">
        <f t="shared" ca="1" si="0"/>
        <v>-8454</v>
      </c>
    </row>
    <row r="17" spans="1:6" s="7" customFormat="1" x14ac:dyDescent="0.25">
      <c r="A17" s="10">
        <v>3000</v>
      </c>
      <c r="B17" s="11" t="str">
        <f ca="1">BAccountDescription(File0,A17)</f>
        <v>Purchase goods for resale</v>
      </c>
      <c r="C17" s="11"/>
      <c r="D17" s="12">
        <f t="shared" ca="1" si="0"/>
        <v>2090</v>
      </c>
      <c r="E17" s="12">
        <f t="shared" ca="1" si="0"/>
        <v>0</v>
      </c>
      <c r="F17" s="12">
        <f t="shared" ca="1" si="0"/>
        <v>4818</v>
      </c>
    </row>
    <row r="18" spans="1:6" s="7" customFormat="1" x14ac:dyDescent="0.25">
      <c r="A18" s="15"/>
      <c r="B18" s="11" t="str">
        <f ca="1">BCellValue(File0, "Accounts", "Account="&amp;A18,"Description")</f>
        <v/>
      </c>
      <c r="C18" s="11"/>
      <c r="D18" s="12"/>
      <c r="E18" s="12"/>
      <c r="F18" s="12"/>
    </row>
    <row r="19" spans="1:6" x14ac:dyDescent="0.25">
      <c r="A19" s="11"/>
      <c r="B19" s="14" t="s">
        <v>3</v>
      </c>
      <c r="C19" s="14"/>
      <c r="D19" s="16"/>
      <c r="E19" s="16"/>
      <c r="F19" s="16"/>
    </row>
    <row r="20" spans="1:6" x14ac:dyDescent="0.25">
      <c r="A20" s="11" t="s">
        <v>59</v>
      </c>
      <c r="B20" s="11" t="str">
        <f ca="1">BAccountDescription(File0,A20)</f>
        <v>Total EXPENSES</v>
      </c>
      <c r="C20" s="11"/>
      <c r="D20" s="16">
        <f ca="1">BTotal(File0,$A20,D$5)</f>
        <v>4400</v>
      </c>
      <c r="E20" s="16">
        <f ca="1">BTotal(File0,$A20,E$5)</f>
        <v>1077</v>
      </c>
      <c r="F20" s="16">
        <f ca="1">BTotal(File0,"Gr="&amp;$A20,F$5)</f>
        <v>0</v>
      </c>
    </row>
    <row r="21" spans="1:6" x14ac:dyDescent="0.25">
      <c r="A21" s="11" t="s">
        <v>60</v>
      </c>
      <c r="B21" s="11" t="str">
        <f ca="1">BAccountDescription(File0,A21)</f>
        <v>Total INCOME</v>
      </c>
      <c r="C21" s="11"/>
      <c r="D21" s="16">
        <f ca="1">BTotal(File0,$A21,D$5)</f>
        <v>-8454</v>
      </c>
      <c r="E21" s="16">
        <f ca="1">BTotal(File0,"Gr="&amp;$A21,E$5)</f>
        <v>0</v>
      </c>
      <c r="F21" s="16">
        <f ca="1">BTotal(File0,"Gr="&amp;$A21,F$5)</f>
        <v>0</v>
      </c>
    </row>
    <row r="22" spans="1:6" x14ac:dyDescent="0.25">
      <c r="A22" s="11"/>
      <c r="B22" s="11"/>
      <c r="C22" s="11"/>
      <c r="D22" s="16"/>
      <c r="E22" s="16"/>
      <c r="F22" s="16"/>
    </row>
    <row r="23" spans="1:6" x14ac:dyDescent="0.25">
      <c r="A23" s="11"/>
      <c r="B23" s="14" t="s">
        <v>31</v>
      </c>
      <c r="C23" s="14"/>
      <c r="D23" s="16"/>
      <c r="E23" s="16"/>
      <c r="F23" s="16"/>
    </row>
    <row r="24" spans="1:6" x14ac:dyDescent="0.25">
      <c r="A24" s="10">
        <v>1000</v>
      </c>
      <c r="B24" s="11" t="str">
        <f ca="1">BAccountDescription(File0, A24)</f>
        <v xml:space="preserve">Cash </v>
      </c>
      <c r="C24" s="11" t="s">
        <v>26</v>
      </c>
      <c r="D24" s="12" t="e">
        <f>BAmount(File0,$A24,"balance","debit",D$5)</f>
        <v>#VALUE!</v>
      </c>
      <c r="E24" s="12" t="e">
        <f>BAmount(File0,$A24,"balance","debit",E$5)</f>
        <v>#VALUE!</v>
      </c>
      <c r="F24" s="12" t="e">
        <f>BAmount(File0,$A24,"balance","debit",F$5)</f>
        <v>#VALUE!</v>
      </c>
    </row>
    <row r="25" spans="1:6" x14ac:dyDescent="0.25">
      <c r="A25" s="10">
        <v>1000</v>
      </c>
      <c r="B25" s="11" t="str">
        <f ca="1">BAccountDescription(File0, A25)</f>
        <v xml:space="preserve">Cash </v>
      </c>
      <c r="C25" s="11" t="s">
        <v>27</v>
      </c>
      <c r="D25" s="12" t="e">
        <f>BAmount(File0,$A25,"balance","credit",D$5)</f>
        <v>#VALUE!</v>
      </c>
      <c r="E25" s="12" t="e">
        <f>BAmount(File0,$A25,"balance","credit",E$5)</f>
        <v>#VALUE!</v>
      </c>
      <c r="F25" s="12" t="e">
        <f>BAmount(File0,$A25,"balance","credit",F$5)</f>
        <v>#VALUE!</v>
      </c>
    </row>
    <row r="26" spans="1:6" x14ac:dyDescent="0.25">
      <c r="A26" s="10"/>
      <c r="B26" s="11"/>
      <c r="C26" s="11"/>
      <c r="D26" s="12"/>
      <c r="E26" s="12"/>
      <c r="F26" s="12"/>
    </row>
    <row r="27" spans="1:6" x14ac:dyDescent="0.25">
      <c r="A27" s="8"/>
      <c r="B27" s="19" t="s">
        <v>15</v>
      </c>
      <c r="C27" s="19"/>
      <c r="D27" s="9"/>
      <c r="E27" s="9"/>
      <c r="F27" s="9"/>
    </row>
    <row r="28" spans="1:6" x14ac:dyDescent="0.25">
      <c r="A28" s="10">
        <v>1000</v>
      </c>
      <c r="B28" s="11" t="str">
        <f ca="1">BAccountDescription(File0, A28)</f>
        <v xml:space="preserve">Cash </v>
      </c>
      <c r="C28" s="11"/>
      <c r="D28" s="12">
        <f ca="1">BBudgetBalance(File0,$A28,D$5)</f>
        <v>33570</v>
      </c>
      <c r="E28" s="12">
        <f ca="1">BBudgetBalance(File0,$A28,E$5)</f>
        <v>25570</v>
      </c>
      <c r="F28" s="12">
        <f ca="1">BBudgetBalance(File0,$A28,F$5)</f>
        <v>41570</v>
      </c>
    </row>
    <row r="29" spans="1:6" x14ac:dyDescent="0.25">
      <c r="A29" s="10"/>
      <c r="B29" s="11"/>
      <c r="C29" s="11"/>
      <c r="D29" s="12"/>
      <c r="E29" s="12"/>
      <c r="F29" s="12"/>
    </row>
    <row r="30" spans="1:6" x14ac:dyDescent="0.25">
      <c r="A30" s="8"/>
      <c r="B30" s="19" t="s">
        <v>16</v>
      </c>
      <c r="C30" s="19"/>
      <c r="D30" s="9"/>
      <c r="E30" s="9"/>
      <c r="F30" s="9"/>
    </row>
    <row r="31" spans="1:6" x14ac:dyDescent="0.25">
      <c r="A31" s="10">
        <v>4100</v>
      </c>
      <c r="B31" s="11" t="str">
        <f ca="1">BAccountDescription(File0, A31)</f>
        <v>Income from sales</v>
      </c>
      <c r="C31" s="11"/>
      <c r="D31" s="12">
        <f ca="1">BBudgetTotal(File0,$A31,D$5)</f>
        <v>-14545</v>
      </c>
      <c r="E31" s="12">
        <f ca="1">BBudgetTotal(File0,$A31,E$5)</f>
        <v>-7272</v>
      </c>
      <c r="F31" s="12">
        <f ca="1">BBudgetTotal(File0,$A31,F$5)</f>
        <v>-21818</v>
      </c>
    </row>
    <row r="32" spans="1:6" x14ac:dyDescent="0.25">
      <c r="A32" s="10"/>
      <c r="B32" s="11"/>
      <c r="C32" s="11"/>
      <c r="D32" s="12"/>
      <c r="E32" s="12"/>
      <c r="F32" s="12"/>
    </row>
    <row r="33" spans="1:6" x14ac:dyDescent="0.25">
      <c r="A33" s="10"/>
      <c r="B33" s="14" t="s">
        <v>19</v>
      </c>
      <c r="C33" s="14"/>
      <c r="D33" s="12"/>
      <c r="E33" s="12"/>
      <c r="F33" s="12"/>
    </row>
    <row r="34" spans="1:6" x14ac:dyDescent="0.25">
      <c r="A34" s="10" t="s">
        <v>18</v>
      </c>
      <c r="B34" s="11" t="str">
        <f ca="1">BVatDescription(File0, A34)</f>
        <v>Sales at 10%</v>
      </c>
      <c r="C34" s="11"/>
      <c r="D34" s="12">
        <f ca="1">BVatBalance(File0,$A34,"taxable",D$5)</f>
        <v>-8454</v>
      </c>
      <c r="E34" s="12">
        <f ca="1">BVatBalance(File0,$A34,"taxable",E$5)</f>
        <v>-5909</v>
      </c>
      <c r="F34" s="12">
        <f ca="1">BVatBalance(File0,$A34,"taxable",F$5)</f>
        <v>-8454</v>
      </c>
    </row>
    <row r="35" spans="1:6" x14ac:dyDescent="0.25">
      <c r="A35" s="10"/>
      <c r="B35" s="11"/>
      <c r="C35" s="11"/>
      <c r="D35" s="12"/>
      <c r="E35" s="12"/>
      <c r="F35" s="12"/>
    </row>
    <row r="36" spans="1:6" x14ac:dyDescent="0.25">
      <c r="A36" s="10"/>
      <c r="B36" s="14" t="s">
        <v>62</v>
      </c>
      <c r="C36" s="11"/>
      <c r="D36" s="12"/>
      <c r="E36" s="12"/>
      <c r="F36" s="12"/>
    </row>
    <row r="37" spans="1:6" x14ac:dyDescent="0.25">
      <c r="A37" s="10">
        <v>1000</v>
      </c>
      <c r="B37" s="11" t="str">
        <f ca="1">BAccountDescription(File0,A37)</f>
        <v xml:space="preserve">Cash </v>
      </c>
      <c r="C37" s="11">
        <v>5</v>
      </c>
      <c r="D37" s="12">
        <f t="shared" ref="D37:F38" ca="1" si="1">BInterest(File0,$A37,$C37,D$5)</f>
        <v>237.69</v>
      </c>
      <c r="E37" s="12">
        <f t="shared" ca="1" si="1"/>
        <v>116.33</v>
      </c>
      <c r="F37" s="12">
        <f t="shared" ca="1" si="1"/>
        <v>373.32</v>
      </c>
    </row>
    <row r="38" spans="1:6" x14ac:dyDescent="0.25">
      <c r="A38" s="10">
        <v>2000</v>
      </c>
      <c r="B38" s="11" t="str">
        <f ca="1">BAccountDescription(File0,A38)</f>
        <v>Supplier</v>
      </c>
      <c r="C38" s="11">
        <v>-5</v>
      </c>
      <c r="D38" s="12">
        <f t="shared" ca="1" si="1"/>
        <v>7.1</v>
      </c>
      <c r="E38" s="12">
        <f t="shared" ca="1" si="1"/>
        <v>4.79</v>
      </c>
      <c r="F38" s="12">
        <f t="shared" ca="1" si="1"/>
        <v>20.36</v>
      </c>
    </row>
    <row r="39" spans="1:6" x14ac:dyDescent="0.25">
      <c r="A39" s="10"/>
      <c r="B39" s="11"/>
      <c r="C39" s="11"/>
      <c r="D39" s="12"/>
      <c r="E39" s="12"/>
      <c r="F39" s="12"/>
    </row>
    <row r="40" spans="1:6" x14ac:dyDescent="0.25">
      <c r="A40" s="10"/>
      <c r="B40" s="14" t="s">
        <v>63</v>
      </c>
      <c r="C40" s="11"/>
      <c r="D40" s="12"/>
      <c r="E40" s="12"/>
      <c r="F40" s="12"/>
    </row>
    <row r="41" spans="1:6" x14ac:dyDescent="0.25">
      <c r="A41" s="10">
        <v>1000</v>
      </c>
      <c r="B41" s="11" t="str">
        <f ca="1">BAccountDescription(File0,A41)</f>
        <v xml:space="preserve">Cash </v>
      </c>
      <c r="C41" s="11">
        <v>5</v>
      </c>
      <c r="D41" s="12">
        <f t="shared" ref="D41:F42" ca="1" si="2">BBudgetInterest(File0,$A41,$C41,D$5)</f>
        <v>224.2</v>
      </c>
      <c r="E41" s="12">
        <f t="shared" ca="1" si="2"/>
        <v>102.01</v>
      </c>
      <c r="F41" s="12">
        <f t="shared" ca="1" si="2"/>
        <v>394.15</v>
      </c>
    </row>
    <row r="42" spans="1:6" x14ac:dyDescent="0.25">
      <c r="A42" s="10">
        <v>2000</v>
      </c>
      <c r="B42" s="11" t="str">
        <f ca="1">BAccountDescription(File0,A42)</f>
        <v>Supplier</v>
      </c>
      <c r="C42" s="11">
        <v>-5</v>
      </c>
      <c r="D42" s="12">
        <f t="shared" ca="1" si="2"/>
        <v>40.409999999999997</v>
      </c>
      <c r="E42" s="12">
        <f t="shared" ca="1" si="2"/>
        <v>21.23</v>
      </c>
      <c r="F42" s="12">
        <f t="shared" ca="1" si="2"/>
        <v>61.64</v>
      </c>
    </row>
    <row r="43" spans="1:6" x14ac:dyDescent="0.25">
      <c r="A43" s="10"/>
      <c r="B43" s="11"/>
      <c r="C43" s="11"/>
      <c r="D43" s="12"/>
      <c r="E43" s="12"/>
      <c r="F43" s="12"/>
    </row>
    <row r="44" spans="1:6" x14ac:dyDescent="0.25">
      <c r="A44" s="11"/>
      <c r="B44" s="14" t="s">
        <v>20</v>
      </c>
      <c r="C44" s="14"/>
      <c r="D44" s="9"/>
      <c r="E44" s="9"/>
      <c r="F44" s="9"/>
    </row>
    <row r="45" spans="1:6" x14ac:dyDescent="0.25">
      <c r="A45" s="11" t="s">
        <v>8</v>
      </c>
      <c r="B45" s="8" t="str">
        <f ca="1">BInfo( File0,"Base",A45)</f>
        <v>Sibex Ltd</v>
      </c>
      <c r="C45" s="8"/>
      <c r="D45" s="9"/>
      <c r="E45" s="9"/>
      <c r="F45" s="9"/>
    </row>
    <row r="46" spans="1:6" x14ac:dyDescent="0.25">
      <c r="A46" s="14" t="s">
        <v>9</v>
      </c>
      <c r="B46" s="8" t="str">
        <f ca="1">BInfo( File0,"Base",A46)</f>
        <v>Example of Double-Entry Accounting with VAT</v>
      </c>
      <c r="C46" s="8"/>
      <c r="D46" s="9"/>
      <c r="E46" s="9"/>
      <c r="F46" s="9"/>
    </row>
    <row r="47" spans="1:6" x14ac:dyDescent="0.25">
      <c r="A47" s="8" t="s">
        <v>10</v>
      </c>
      <c r="B47" s="17">
        <f ca="1">DATEVALUE(BInfo( File0,"Base",A47))</f>
        <v>42282</v>
      </c>
      <c r="C47" s="17"/>
      <c r="D47" s="9"/>
      <c r="E47" s="9"/>
      <c r="F47" s="9"/>
    </row>
    <row r="48" spans="1:6" x14ac:dyDescent="0.25">
      <c r="A48" s="18"/>
      <c r="B48" s="9" t="str">
        <f ca="1">BInfo( File0,"Base",A48)</f>
        <v/>
      </c>
      <c r="C48" s="9"/>
      <c r="D48" s="9"/>
      <c r="E48" s="9"/>
      <c r="F48" s="9"/>
    </row>
    <row r="49" spans="1:3" x14ac:dyDescent="0.25">
      <c r="A49" s="1"/>
      <c r="B49" t="str">
        <f ca="1">BInfo( File0,"Base",A49)</f>
        <v/>
      </c>
    </row>
    <row r="50" spans="1:3" x14ac:dyDescent="0.25">
      <c r="A50" s="1"/>
      <c r="B50" s="14" t="s">
        <v>50</v>
      </c>
      <c r="C50" s="1"/>
    </row>
    <row r="51" spans="1:3" x14ac:dyDescent="0.25">
      <c r="A51" s="20" t="s">
        <v>52</v>
      </c>
      <c r="B51" t="str">
        <f>BFunctionsVersion()</f>
        <v>2015-10-06</v>
      </c>
      <c r="C51" s="1"/>
    </row>
    <row r="52" spans="1:3" x14ac:dyDescent="0.25">
      <c r="A52" s="20" t="s">
        <v>58</v>
      </c>
      <c r="C52" s="1"/>
    </row>
    <row r="53" spans="1:3" x14ac:dyDescent="0.25">
      <c r="A53" s="25" t="s">
        <v>57</v>
      </c>
      <c r="C53" s="1"/>
    </row>
    <row r="54" spans="1:3" x14ac:dyDescent="0.25">
      <c r="A54" s="23">
        <v>10</v>
      </c>
      <c r="B54" t="str">
        <f>BlastQuery(A54)</f>
        <v>http://localhost:8081/v1/doc/company-2013.ac2/info/Base/FileName</v>
      </c>
      <c r="C54" s="1"/>
    </row>
    <row r="55" spans="1:3" x14ac:dyDescent="0.25">
      <c r="A55" s="23">
        <f>A54-1</f>
        <v>9</v>
      </c>
      <c r="B55" t="str">
        <f>BlastQuery(A55)</f>
        <v>http://localhost:8081/v1/doc/company-2014.ac2/info/Base/FileName</v>
      </c>
      <c r="C55" s="1"/>
    </row>
    <row r="56" spans="1:3" x14ac:dyDescent="0.25">
      <c r="A56" s="23">
        <f t="shared" ref="A56:A64" si="3">A55-1</f>
        <v>8</v>
      </c>
      <c r="B56" t="str">
        <f>BlastQuery(A56)</f>
        <v>http://localhost:8081/v1/doc/company-2015.ac2/info/Base/FileName</v>
      </c>
      <c r="C56" s="1"/>
    </row>
    <row r="57" spans="1:3" x14ac:dyDescent="0.25">
      <c r="A57" s="23">
        <f t="shared" si="3"/>
        <v>7</v>
      </c>
      <c r="B57" t="str">
        <f t="shared" ref="B57:B64" si="4">BlastQuery(A57)</f>
        <v>http://localhost:8081/v1/doc/company-2014.ac2/balance/Gr=3/total?period=</v>
      </c>
      <c r="C57" s="1"/>
    </row>
    <row r="58" spans="1:3" x14ac:dyDescent="0.25">
      <c r="A58" s="23">
        <f t="shared" si="3"/>
        <v>6</v>
      </c>
      <c r="B58" t="str">
        <f t="shared" si="4"/>
        <v>http://localhost:8081/v1/doc/company-2014.ac2/balance/Gr=4/total?period=M1</v>
      </c>
      <c r="C58" s="1"/>
    </row>
    <row r="59" spans="1:3" x14ac:dyDescent="0.25">
      <c r="A59" s="23">
        <f t="shared" si="3"/>
        <v>5</v>
      </c>
      <c r="B59" t="str">
        <f>BlastQuery(A59)</f>
        <v>http://localhost:8081/v1/doc/company-2014.ac2/balance/1000|1010|1011/balance?period=M1</v>
      </c>
      <c r="C59" s="1"/>
    </row>
    <row r="60" spans="1:3" x14ac:dyDescent="0.25">
      <c r="A60" s="23">
        <f t="shared" si="3"/>
        <v>4</v>
      </c>
      <c r="B60" t="str">
        <f t="shared" si="4"/>
        <v>http://localhost:8081/v1/doc/company-2014.ac2/balance/Gr=3/total?period=M1</v>
      </c>
      <c r="C60" s="1"/>
    </row>
    <row r="61" spans="1:3" x14ac:dyDescent="0.25">
      <c r="A61" s="23">
        <f t="shared" si="3"/>
        <v>3</v>
      </c>
      <c r="B61" t="str">
        <f t="shared" si="4"/>
        <v>http://localhost:8081/v1/doc/company-2014.ac2/balance/1000|1010|1011/balance?period=</v>
      </c>
      <c r="C61" s="1"/>
    </row>
    <row r="62" spans="1:3" x14ac:dyDescent="0.25">
      <c r="A62" s="23">
        <f t="shared" si="3"/>
        <v>2</v>
      </c>
      <c r="B62" t="str">
        <f t="shared" si="4"/>
        <v>http://localhost:8081/v1/doc/company-2014.ac2/balance/Gr=4/total?period=</v>
      </c>
      <c r="C62" s="1"/>
    </row>
    <row r="63" spans="1:3" x14ac:dyDescent="0.25">
      <c r="A63" s="23">
        <f t="shared" si="3"/>
        <v>1</v>
      </c>
      <c r="B63" t="str">
        <f t="shared" si="4"/>
        <v>http://localhost:8081/v1/doc/company-2014.ac2/balance/Gr=3/total?period=</v>
      </c>
      <c r="C63" s="1"/>
    </row>
    <row r="64" spans="1:3" x14ac:dyDescent="0.25">
      <c r="A64" s="23">
        <f t="shared" si="3"/>
        <v>0</v>
      </c>
      <c r="B64" t="str">
        <f t="shared" si="4"/>
        <v>http://localhost:8081/v1/doc/company-2014.ac2/balance/Gr=4/total?period=M1</v>
      </c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3"/>
      <c r="B71" s="1"/>
      <c r="C71" s="1"/>
    </row>
    <row r="72" spans="1:3" x14ac:dyDescent="0.25">
      <c r="A72" s="4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2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4"/>
      <c r="B80" s="1"/>
      <c r="C80" s="1"/>
    </row>
    <row r="81" spans="1:3" x14ac:dyDescent="0.25">
      <c r="A81" s="2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workbookViewId="0">
      <selection activeCell="B10" sqref="B10"/>
    </sheetView>
  </sheetViews>
  <sheetFormatPr baseColWidth="10" defaultColWidth="9.140625" defaultRowHeight="15" x14ac:dyDescent="0.25"/>
  <cols>
    <col min="1" max="1" width="15.7109375" customWidth="1"/>
    <col min="2" max="2" width="39" customWidth="1"/>
    <col min="3" max="3" width="15.7109375" customWidth="1"/>
    <col min="4" max="4" width="15.42578125" customWidth="1"/>
    <col min="5" max="5" width="14.140625" customWidth="1"/>
    <col min="6" max="6" width="16" customWidth="1"/>
    <col min="7" max="7" width="13" customWidth="1"/>
  </cols>
  <sheetData>
    <row r="3" spans="1:7" x14ac:dyDescent="0.25">
      <c r="B3" s="20" t="s">
        <v>32</v>
      </c>
      <c r="C3" s="23" t="s">
        <v>23</v>
      </c>
      <c r="D3" s="23" t="s">
        <v>4</v>
      </c>
      <c r="E3" s="23" t="s">
        <v>24</v>
      </c>
      <c r="F3" s="23" t="s">
        <v>5</v>
      </c>
      <c r="G3" s="23" t="s">
        <v>56</v>
      </c>
    </row>
    <row r="4" spans="1:7" x14ac:dyDescent="0.25">
      <c r="A4" s="10" t="s">
        <v>14</v>
      </c>
      <c r="B4" s="10" t="s">
        <v>22</v>
      </c>
      <c r="C4" s="12">
        <f t="shared" ref="C4:G7" ca="1" si="0">BAmount(File0,$A4,C$3)</f>
        <v>17438</v>
      </c>
      <c r="D4" s="12">
        <f t="shared" ca="1" si="0"/>
        <v>18988</v>
      </c>
      <c r="E4" s="12">
        <f t="shared" ca="1" si="0"/>
        <v>17738</v>
      </c>
      <c r="F4" s="12">
        <f t="shared" ca="1" si="0"/>
        <v>17738</v>
      </c>
      <c r="G4" s="12">
        <f t="shared" ca="1" si="0"/>
        <v>17738</v>
      </c>
    </row>
    <row r="5" spans="1:7" x14ac:dyDescent="0.25">
      <c r="A5" s="11" t="s">
        <v>60</v>
      </c>
      <c r="B5" s="11" t="str">
        <f ca="1">BAccountDescription(File0, A5)</f>
        <v>Total INCOME</v>
      </c>
      <c r="C5" s="12">
        <f t="shared" ca="1" si="0"/>
        <v>5909</v>
      </c>
      <c r="D5" s="12">
        <f t="shared" ca="1" si="0"/>
        <v>2545</v>
      </c>
      <c r="E5" s="12">
        <f t="shared" ca="1" si="0"/>
        <v>0</v>
      </c>
      <c r="F5" s="12">
        <f t="shared" ca="1" si="0"/>
        <v>8454</v>
      </c>
      <c r="G5" s="12">
        <f t="shared" ca="1" si="0"/>
        <v>8454</v>
      </c>
    </row>
    <row r="6" spans="1:7" x14ac:dyDescent="0.25">
      <c r="A6" s="11" t="s">
        <v>59</v>
      </c>
      <c r="B6" s="11" t="str">
        <f ca="1">BAccountDescription(File0, A6)</f>
        <v>Total EXPENSES</v>
      </c>
      <c r="C6" s="12">
        <f t="shared" ca="1" si="0"/>
        <v>1077</v>
      </c>
      <c r="D6" s="12">
        <f t="shared" ca="1" si="0"/>
        <v>3322</v>
      </c>
      <c r="E6" s="12">
        <f t="shared" ca="1" si="0"/>
        <v>3959</v>
      </c>
      <c r="F6" s="12">
        <f t="shared" ca="1" si="0"/>
        <v>8359</v>
      </c>
      <c r="G6" s="12">
        <f t="shared" ca="1" si="0"/>
        <v>8359</v>
      </c>
    </row>
    <row r="7" spans="1:7" x14ac:dyDescent="0.25">
      <c r="A7" s="26" t="s">
        <v>64</v>
      </c>
      <c r="B7" s="11" t="s">
        <v>65</v>
      </c>
      <c r="C7" s="12">
        <f t="shared" ca="1" si="0"/>
        <v>4831</v>
      </c>
      <c r="D7" s="12">
        <f t="shared" ca="1" si="0"/>
        <v>-777</v>
      </c>
      <c r="E7" s="12">
        <f t="shared" ca="1" si="0"/>
        <v>-3959</v>
      </c>
      <c r="F7" s="12">
        <f t="shared" ca="1" si="0"/>
        <v>95</v>
      </c>
      <c r="G7" s="12">
        <f t="shared" ca="1" si="0"/>
        <v>95</v>
      </c>
    </row>
    <row r="8" spans="1:7" x14ac:dyDescent="0.25">
      <c r="C8" s="24"/>
      <c r="D8" s="24"/>
      <c r="E8" s="24"/>
      <c r="F8" s="24"/>
      <c r="G8" s="24"/>
    </row>
    <row r="9" spans="1:7" x14ac:dyDescent="0.25">
      <c r="B9" s="20" t="s">
        <v>33</v>
      </c>
    </row>
    <row r="10" spans="1:7" x14ac:dyDescent="0.25">
      <c r="A10" s="10" t="s">
        <v>14</v>
      </c>
      <c r="B10" s="10" t="s">
        <v>22</v>
      </c>
      <c r="C10" s="12">
        <f t="shared" ref="C10:G13" ca="1" si="1">BBudgetAmount(File0,$A10,C$3)</f>
        <v>26070</v>
      </c>
      <c r="D10" s="12">
        <f t="shared" ca="1" si="1"/>
        <v>33070</v>
      </c>
      <c r="E10" s="12">
        <f t="shared" ca="1" si="1"/>
        <v>40070</v>
      </c>
      <c r="F10" s="12">
        <f t="shared" ca="1" si="1"/>
        <v>40070</v>
      </c>
      <c r="G10" s="12">
        <f t="shared" ca="1" si="1"/>
        <v>103070</v>
      </c>
    </row>
    <row r="11" spans="1:7" x14ac:dyDescent="0.25">
      <c r="A11" s="11" t="s">
        <v>60</v>
      </c>
      <c r="B11" s="11" t="str">
        <f ca="1">BAccountDescription(File0, A11)</f>
        <v>Total INCOME</v>
      </c>
      <c r="C11" s="12">
        <f t="shared" ca="1" si="1"/>
        <v>7272</v>
      </c>
      <c r="D11" s="12">
        <f t="shared" ca="1" si="1"/>
        <v>7272</v>
      </c>
      <c r="E11" s="12">
        <f t="shared" ca="1" si="1"/>
        <v>7272</v>
      </c>
      <c r="F11" s="12">
        <f t="shared" ca="1" si="1"/>
        <v>21818</v>
      </c>
      <c r="G11" s="12">
        <f t="shared" ca="1" si="1"/>
        <v>87272</v>
      </c>
    </row>
    <row r="12" spans="1:7" x14ac:dyDescent="0.25">
      <c r="A12" s="11" t="s">
        <v>59</v>
      </c>
      <c r="B12" s="11" t="str">
        <f ca="1">BAccountDescription(File0, A12)</f>
        <v>Total EXPENSES</v>
      </c>
      <c r="C12" s="12">
        <f t="shared" ca="1" si="1"/>
        <v>1000</v>
      </c>
      <c r="D12" s="12">
        <f t="shared" ca="1" si="1"/>
        <v>1000</v>
      </c>
      <c r="E12" s="12">
        <f t="shared" ca="1" si="1"/>
        <v>1000</v>
      </c>
      <c r="F12" s="12">
        <f t="shared" ca="1" si="1"/>
        <v>3000</v>
      </c>
      <c r="G12" s="12">
        <f t="shared" ca="1" si="1"/>
        <v>12000</v>
      </c>
    </row>
    <row r="13" spans="1:7" x14ac:dyDescent="0.25">
      <c r="A13" t="s">
        <v>64</v>
      </c>
      <c r="B13" s="11" t="s">
        <v>65</v>
      </c>
      <c r="C13" s="12">
        <f t="shared" ca="1" si="1"/>
        <v>6272</v>
      </c>
      <c r="D13" s="12">
        <f t="shared" ca="1" si="1"/>
        <v>6272</v>
      </c>
      <c r="E13" s="12">
        <f t="shared" ca="1" si="1"/>
        <v>6272</v>
      </c>
      <c r="F13" s="12">
        <f t="shared" ca="1" si="1"/>
        <v>18818</v>
      </c>
      <c r="G13" s="12">
        <f t="shared" ca="1" si="1"/>
        <v>75272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workbookViewId="0">
      <selection activeCell="K14" sqref="K14"/>
    </sheetView>
  </sheetViews>
  <sheetFormatPr baseColWidth="10" defaultColWidth="9.140625" defaultRowHeight="15" x14ac:dyDescent="0.25"/>
  <cols>
    <col min="1" max="1" width="15.7109375" customWidth="1"/>
    <col min="2" max="2" width="23.5703125" customWidth="1"/>
    <col min="3" max="8" width="11.7109375" customWidth="1"/>
    <col min="9" max="9" width="10.85546875" customWidth="1"/>
  </cols>
  <sheetData>
    <row r="2" spans="1:10" x14ac:dyDescent="0.25">
      <c r="C2" s="23" t="s">
        <v>36</v>
      </c>
      <c r="D2" s="23" t="s">
        <v>37</v>
      </c>
      <c r="E2" s="23"/>
      <c r="F2" s="23"/>
      <c r="G2" s="23" t="s">
        <v>36</v>
      </c>
      <c r="H2" s="23" t="s">
        <v>37</v>
      </c>
    </row>
    <row r="3" spans="1:10" x14ac:dyDescent="0.25">
      <c r="B3" s="20"/>
      <c r="C3" s="23" t="s">
        <v>23</v>
      </c>
      <c r="D3" s="23" t="s">
        <v>23</v>
      </c>
      <c r="E3" s="27" t="s">
        <v>38</v>
      </c>
      <c r="F3" s="27" t="s">
        <v>39</v>
      </c>
      <c r="G3" s="23" t="s">
        <v>56</v>
      </c>
      <c r="H3" s="23" t="s">
        <v>56</v>
      </c>
      <c r="I3" s="27" t="s">
        <v>38</v>
      </c>
      <c r="J3" s="27" t="s">
        <v>39</v>
      </c>
    </row>
    <row r="4" spans="1:10" x14ac:dyDescent="0.25">
      <c r="A4" s="10" t="s">
        <v>14</v>
      </c>
      <c r="B4" s="10" t="s">
        <v>22</v>
      </c>
      <c r="C4" s="12">
        <f ca="1">BBalance(File0,$A4,C$3)</f>
        <v>17438</v>
      </c>
      <c r="D4" s="12">
        <f ca="1">BBalance(File1,$A4,D$3)</f>
        <v>18970</v>
      </c>
      <c r="E4" s="12">
        <f ca="1">D4-C4</f>
        <v>1532</v>
      </c>
      <c r="F4" s="28">
        <f ca="1">(D4-C4)/D4</f>
        <v>8.0759093305218771E-2</v>
      </c>
      <c r="G4" s="12">
        <f ca="1">BBalance(File0,$A4)</f>
        <v>17738</v>
      </c>
      <c r="H4" s="12">
        <f ca="1">BBalance(File1,$A4)</f>
        <v>19070</v>
      </c>
      <c r="I4" s="12">
        <f ca="1">H4-G4</f>
        <v>1332</v>
      </c>
      <c r="J4" s="28">
        <f ca="1">(H4-G4)/H4</f>
        <v>6.9847928683796537E-2</v>
      </c>
    </row>
    <row r="5" spans="1:10" x14ac:dyDescent="0.25">
      <c r="A5" s="11" t="s">
        <v>60</v>
      </c>
      <c r="B5" s="11" t="str">
        <f ca="1">BAccountDescription(File0, A5)</f>
        <v>Total INCOME</v>
      </c>
      <c r="C5" s="16">
        <f ca="1">BTotal(File0,$A5,C$3)*-1</f>
        <v>5909</v>
      </c>
      <c r="D5" s="16">
        <f ca="1">BTotal(File1,$A5,D$3)*-1</f>
        <v>7272</v>
      </c>
      <c r="E5" s="12">
        <f ca="1">D5-C5</f>
        <v>1363</v>
      </c>
      <c r="F5" s="28">
        <f ca="1">(D5-C5)/D5</f>
        <v>0.18743124312431242</v>
      </c>
      <c r="G5" s="16">
        <f ca="1">BTotal(File0,$A5)*-1</f>
        <v>8454</v>
      </c>
      <c r="H5" s="16">
        <f ca="1">BTotal(File1,$A5)*-1</f>
        <v>9545</v>
      </c>
      <c r="I5" s="12">
        <f ca="1">H5-G5</f>
        <v>1091</v>
      </c>
      <c r="J5" s="28">
        <f ca="1">(H5-G5)/H5</f>
        <v>0.11430068098480881</v>
      </c>
    </row>
    <row r="6" spans="1:10" x14ac:dyDescent="0.25">
      <c r="A6" s="11" t="s">
        <v>59</v>
      </c>
      <c r="B6" s="11" t="str">
        <f ca="1">BAccountDescription(File0, A6)</f>
        <v>Total EXPENSES</v>
      </c>
      <c r="C6" s="16">
        <f ca="1">BTotal(File0,$A6,C$3)</f>
        <v>1077</v>
      </c>
      <c r="D6" s="16">
        <f ca="1">BTotal(File1,$A6,D$3)</f>
        <v>1027</v>
      </c>
      <c r="E6" s="12">
        <f ca="1">D6-C6</f>
        <v>-50</v>
      </c>
      <c r="F6" s="28">
        <f ca="1">(D6-C6)/D6</f>
        <v>-4.8685491723466409E-2</v>
      </c>
      <c r="G6" s="16">
        <f ca="1">BTotal(File0,$A6)</f>
        <v>8359</v>
      </c>
      <c r="H6" s="16">
        <f ca="1">BTotal(File1,$A6)</f>
        <v>7027</v>
      </c>
      <c r="I6" s="12">
        <f ca="1">H6-G6</f>
        <v>-1332</v>
      </c>
      <c r="J6" s="28">
        <f ca="1">(H6-G6)/H6</f>
        <v>-0.18955457520990465</v>
      </c>
    </row>
    <row r="7" spans="1:10" x14ac:dyDescent="0.25">
      <c r="B7" t="s">
        <v>25</v>
      </c>
      <c r="C7" s="24">
        <f ca="1">C5-C6</f>
        <v>4832</v>
      </c>
      <c r="D7" s="24">
        <f ca="1">D5-D6</f>
        <v>6245</v>
      </c>
      <c r="E7" s="12">
        <f ca="1">D7-C7</f>
        <v>1413</v>
      </c>
      <c r="F7" s="28">
        <f ca="1">(D7-C7)/D7</f>
        <v>0.22626100880704564</v>
      </c>
      <c r="G7" s="24">
        <f ca="1">G5-G6</f>
        <v>95</v>
      </c>
      <c r="H7" s="24">
        <f ca="1">H5-H6</f>
        <v>2518</v>
      </c>
      <c r="I7" s="12">
        <f ca="1">H7-G7</f>
        <v>2423</v>
      </c>
      <c r="J7" s="28">
        <f ca="1">(H7-G7)/H7</f>
        <v>0.96227164416203337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dcterms:created xsi:type="dcterms:W3CDTF">2014-07-24T08:59:22Z</dcterms:created>
  <dcterms:modified xsi:type="dcterms:W3CDTF">2015-10-06T12:57:32Z</dcterms:modified>
</cp:coreProperties>
</file>