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P:\L\BC5\Banana8\a-Internal\ExcelFunctions\20150512\"/>
    </mc:Choice>
  </mc:AlternateContent>
  <bookViews>
    <workbookView xWindow="13650" yWindow="150" windowWidth="25350" windowHeight="12705" activeTab="1"/>
  </bookViews>
  <sheets>
    <sheet name="Documentation" sheetId="4" r:id="rId1"/>
    <sheet name="Start" sheetId="1" r:id="rId2"/>
    <sheet name="Samples" sheetId="6" r:id="rId3"/>
    <sheet name="Example Evolution" sheetId="2" r:id="rId4"/>
    <sheet name="PreviousYear" sheetId="3" r:id="rId5"/>
  </sheets>
  <functionGroups builtInGroupCount="18"/>
  <definedNames>
    <definedName name="FName">Start!$B$12</definedName>
    <definedName name="FNameP">Start!$B$13</definedName>
    <definedName name="RecalcCell">Start!$B$16</definedName>
  </definedNames>
  <calcPr calcId="152511"/>
</workbook>
</file>

<file path=xl/calcChain.xml><?xml version="1.0" encoding="utf-8"?>
<calcChain xmlns="http://schemas.openxmlformats.org/spreadsheetml/2006/main">
  <c r="A55" i="6" l="1"/>
  <c r="A56" i="6" s="1"/>
  <c r="A57" i="6" s="1"/>
  <c r="A58" i="6" s="1"/>
  <c r="A59" i="6" s="1"/>
  <c r="A60" i="6" s="1"/>
  <c r="A61" i="6" s="1"/>
  <c r="A62" i="6" s="1"/>
  <c r="A63" i="6" s="1"/>
  <c r="A64" i="6" s="1"/>
  <c r="B63" i="6"/>
  <c r="B57" i="6"/>
  <c r="B18" i="1"/>
  <c r="B55" i="6"/>
  <c r="B56" i="6"/>
  <c r="B58" i="6"/>
  <c r="D5" i="6"/>
  <c r="B61" i="6"/>
  <c r="B54" i="6"/>
  <c r="B60" i="6"/>
  <c r="B13" i="1"/>
  <c r="B12" i="1"/>
  <c r="B59" i="6"/>
  <c r="B64" i="6"/>
  <c r="E4" i="6"/>
  <c r="B62" i="6"/>
  <c r="F6" i="6"/>
  <c r="E6" i="6"/>
  <c r="C5" i="3"/>
  <c r="F7" i="2"/>
  <c r="C5" i="2"/>
  <c r="D42" i="6"/>
  <c r="E7" i="2"/>
  <c r="B41" i="6"/>
  <c r="F5" i="2"/>
  <c r="B38" i="6"/>
  <c r="F42" i="6"/>
  <c r="B31" i="6"/>
  <c r="B49" i="6"/>
  <c r="E11" i="2"/>
  <c r="E24" i="6"/>
  <c r="E28" i="6"/>
  <c r="B6" i="3"/>
  <c r="C4" i="2"/>
  <c r="F13" i="6"/>
  <c r="D7" i="2"/>
  <c r="D24" i="6"/>
  <c r="B12" i="2"/>
  <c r="B48" i="6"/>
  <c r="F11" i="6"/>
  <c r="D17" i="6"/>
  <c r="D16" i="6"/>
  <c r="D28" i="6"/>
  <c r="D41" i="6"/>
  <c r="E21" i="6"/>
  <c r="E16" i="6"/>
  <c r="D31" i="6"/>
  <c r="B45" i="6"/>
  <c r="D37" i="6"/>
  <c r="F10" i="2"/>
  <c r="G5" i="3"/>
  <c r="B11" i="2"/>
  <c r="F12" i="2"/>
  <c r="E34" i="6"/>
  <c r="D6" i="3"/>
  <c r="G11" i="2"/>
  <c r="E25" i="6"/>
  <c r="E9" i="6"/>
  <c r="G5" i="2"/>
  <c r="F25" i="6"/>
  <c r="B5" i="3"/>
  <c r="B37" i="6"/>
  <c r="G7" i="2"/>
  <c r="E13" i="6"/>
  <c r="H4" i="3"/>
  <c r="E4" i="2"/>
  <c r="F34" i="6"/>
  <c r="F28" i="6"/>
  <c r="D34" i="6"/>
  <c r="B47" i="6"/>
  <c r="B24" i="6"/>
  <c r="D5" i="2"/>
  <c r="E6" i="2"/>
  <c r="C11" i="2"/>
  <c r="B11" i="6"/>
  <c r="H5" i="3"/>
  <c r="F41" i="6"/>
  <c r="D9" i="6"/>
  <c r="D6" i="2"/>
  <c r="D4" i="3"/>
  <c r="D25" i="6"/>
  <c r="F37" i="6"/>
  <c r="E31" i="6"/>
  <c r="D5" i="3"/>
  <c r="E20" i="6"/>
  <c r="C10" i="2"/>
  <c r="E11" i="6"/>
  <c r="D4" i="2"/>
  <c r="F24" i="6"/>
  <c r="C6" i="3"/>
  <c r="E42" i="6"/>
  <c r="B20" i="6"/>
  <c r="D11" i="6"/>
  <c r="B34" i="6"/>
  <c r="D20" i="6"/>
  <c r="F6" i="2"/>
  <c r="C7" i="2"/>
  <c r="C4" i="3"/>
  <c r="E12" i="2"/>
  <c r="G6" i="2"/>
  <c r="F20" i="6"/>
  <c r="B21" i="6"/>
  <c r="B9" i="6"/>
  <c r="D13" i="6"/>
  <c r="F4" i="2"/>
  <c r="D38" i="6"/>
  <c r="B16" i="6"/>
  <c r="F9" i="6"/>
  <c r="E17" i="6"/>
  <c r="G12" i="2"/>
  <c r="B28" i="6"/>
  <c r="E37" i="6"/>
  <c r="E5" i="2"/>
  <c r="B6" i="2"/>
  <c r="D12" i="2"/>
  <c r="F17" i="6"/>
  <c r="B25" i="6"/>
  <c r="F31" i="6"/>
  <c r="B42" i="6"/>
  <c r="C12" i="2"/>
  <c r="G4" i="2"/>
  <c r="G4" i="3"/>
  <c r="B51" i="6"/>
  <c r="D10" i="2"/>
  <c r="D21" i="6"/>
  <c r="F11" i="2"/>
  <c r="E10" i="2"/>
  <c r="H6" i="3"/>
  <c r="F21" i="6"/>
  <c r="F38" i="6"/>
  <c r="G10" i="2"/>
  <c r="B46" i="6"/>
  <c r="B18" i="6"/>
  <c r="F16" i="6"/>
  <c r="B17" i="6"/>
  <c r="E41" i="6"/>
  <c r="E38" i="6"/>
  <c r="C6" i="2"/>
  <c r="D11" i="2"/>
  <c r="G6" i="3"/>
  <c r="B5" i="2"/>
  <c r="G7" i="3" l="1"/>
  <c r="E6" i="3"/>
  <c r="F6" i="3"/>
  <c r="F13" i="2"/>
  <c r="H7" i="3"/>
  <c r="J5" i="3"/>
  <c r="I5" i="3"/>
  <c r="J6" i="3"/>
  <c r="I6" i="3"/>
  <c r="G13" i="2"/>
  <c r="D13" i="2"/>
  <c r="C13" i="2"/>
  <c r="F4" i="3"/>
  <c r="E4" i="3"/>
  <c r="E13" i="2"/>
  <c r="C7" i="3"/>
  <c r="J4" i="3"/>
  <c r="I4" i="3"/>
  <c r="C10" i="1"/>
  <c r="E5" i="3" l="1"/>
  <c r="F5" i="3"/>
  <c r="D7" i="3"/>
  <c r="E7" i="3" s="1"/>
  <c r="J7" i="3"/>
  <c r="I7" i="3"/>
  <c r="F7" i="3" l="1"/>
</calcChain>
</file>

<file path=xl/sharedStrings.xml><?xml version="1.0" encoding="utf-8"?>
<sst xmlns="http://schemas.openxmlformats.org/spreadsheetml/2006/main" count="101" uniqueCount="76">
  <si>
    <t>Period End Date</t>
  </si>
  <si>
    <t>Period Start</t>
  </si>
  <si>
    <t>Period</t>
  </si>
  <si>
    <t>Groups (Totals period)</t>
  </si>
  <si>
    <t>M2</t>
  </si>
  <si>
    <t>Q1</t>
  </si>
  <si>
    <t>Macro RecalculateAll (Ctrl+R)</t>
  </si>
  <si>
    <t>Retrieve data from Banana Accounting</t>
  </si>
  <si>
    <t>HeaderLeft</t>
  </si>
  <si>
    <t>HeaderRight</t>
  </si>
  <si>
    <t>DateLastSaved</t>
  </si>
  <si>
    <t>Account Total Period ( BTotal)</t>
  </si>
  <si>
    <t>Balance (BBalance)</t>
  </si>
  <si>
    <t>Multiple accounts (separated by |)</t>
  </si>
  <si>
    <t>1000|1010|1011</t>
  </si>
  <si>
    <t>Budget Balance (BBalanceBudget)</t>
  </si>
  <si>
    <t>Budget Total (BTotalBudget)</t>
  </si>
  <si>
    <t>Opening amounts (BOpening)</t>
  </si>
  <si>
    <t>S10</t>
  </si>
  <si>
    <t>Vat code balane (VatBalance)</t>
  </si>
  <si>
    <t>File properties (Binfo)</t>
  </si>
  <si>
    <t>BQueryPeriod</t>
  </si>
  <si>
    <t>FName</t>
  </si>
  <si>
    <t>(use FName to avoid wiating in case Banana is not open and there is no answer)</t>
  </si>
  <si>
    <t>Cash evolution</t>
  </si>
  <si>
    <t>M1</t>
  </si>
  <si>
    <t>Year</t>
  </si>
  <si>
    <t>M3</t>
  </si>
  <si>
    <t>Result</t>
  </si>
  <si>
    <t>Debit</t>
  </si>
  <si>
    <t>Credit</t>
  </si>
  <si>
    <t>Start/EndPeriod</t>
  </si>
  <si>
    <t>BOpening</t>
  </si>
  <si>
    <t>BTotal</t>
  </si>
  <si>
    <t>BAmount (Debit / Credit..)</t>
  </si>
  <si>
    <t>Current Accounting data</t>
  </si>
  <si>
    <t>Budget Data</t>
  </si>
  <si>
    <t>Insert file name current year</t>
  </si>
  <si>
    <t>company-2015.ac2</t>
  </si>
  <si>
    <t>FNameP</t>
  </si>
  <si>
    <t>Insert file name previous year</t>
  </si>
  <si>
    <t>company-2014.ac2</t>
  </si>
  <si>
    <t>(use FNameP to avoid wiating in case Banana is not open and there is no answer)</t>
  </si>
  <si>
    <t>Current</t>
  </si>
  <si>
    <t>Last</t>
  </si>
  <si>
    <t>+/-</t>
  </si>
  <si>
    <t>+/- %</t>
  </si>
  <si>
    <t>' Copyright (C) 2014 Banana.ch SA</t>
  </si>
  <si>
    <t>'</t>
  </si>
  <si>
    <t>' Licensed under the Apache License, Version 2.0 (the "License");</t>
  </si>
  <si>
    <t>' you may not use this file except in compliance with the License.</t>
  </si>
  <si>
    <t>' You may obtain a copy of the License at</t>
  </si>
  <si>
    <t>' http://www.apache.org/licenses/LICENSE-2.0</t>
  </si>
  <si>
    <t>' Unless required by applicable law or agreed to in writing, software</t>
  </si>
  <si>
    <t>' distributed under the License is distributed on an "AS IS" BASIS,</t>
  </si>
  <si>
    <t>' WITHOUT WARRANTIES OR CONDITIONS OF ANY KIND, either express or implied.</t>
  </si>
  <si>
    <t>' See the License for the specific language governing permissions and</t>
  </si>
  <si>
    <t>' limitations under the License.</t>
  </si>
  <si>
    <t>Documentation regarding the Excel functions</t>
  </si>
  <si>
    <t>http://www.banana.ch/cms/en/node/4999</t>
  </si>
  <si>
    <t>Excel function to retrieve data from Banana Accounting</t>
  </si>
  <si>
    <t>Other functions</t>
  </si>
  <si>
    <t>2. Open Banana Accounting files</t>
  </si>
  <si>
    <t>Functions Version</t>
  </si>
  <si>
    <t>License terms</t>
  </si>
  <si>
    <t>Some examples</t>
  </si>
  <si>
    <t>3. Recalculate spreadsheet  B (Data is not retrieved without full recalculation)</t>
  </si>
  <si>
    <t>1. Start Banana Experimental</t>
  </si>
  <si>
    <t>Y1</t>
  </si>
  <si>
    <t>List last queries is not always updated (cancel and retype number 10 to forse recalculation)</t>
  </si>
  <si>
    <t xml:space="preserve">List last queries for debug info </t>
  </si>
  <si>
    <t>Gr=3</t>
  </si>
  <si>
    <t>Gr=4</t>
  </si>
  <si>
    <t>Banana Functions version</t>
  </si>
  <si>
    <t>Interest Rate</t>
  </si>
  <si>
    <t>Budget Interest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</si>
</sst>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 * #,##0.00_ ;_ * \-#,##0.00_ ;_ * &quot;-&quot;??_ ;_ @_ "/>
    <numFmt numFmtId="164" formatCode="[$-F800]dddd\,\ mmmm\ dd\,\ yyyy"/>
    <numFmt numFmtId="165" formatCode="0.0%"/>
  </numFmts>
  <fonts count="17" x14ac:knownFonts="1">
    <font>
      <sz val="11"/>
      <color theme="1"/>
      <name val="Calibri"/>
      <family val="2"/>
      <scheme val="minor"/>
    </font>
    <font>
      <sz val="7"/>
      <color theme="1"/>
      <name val="Arial Unicode MS"/>
      <family val="2"/>
    </font>
    <font>
      <b/>
      <sz val="7"/>
      <color theme="1"/>
      <name val="Arial Unicode MS"/>
      <family val="2"/>
    </font>
    <font>
      <b/>
      <i/>
      <sz val="7"/>
      <color theme="1"/>
      <name val="Arial Unicode MS"/>
      <family val="2"/>
    </font>
    <font>
      <b/>
      <sz val="8"/>
      <color theme="1"/>
      <name val="Arial Unicode MS"/>
      <family val="2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i/>
      <sz val="10"/>
      <color theme="1"/>
      <name val="Arial"/>
      <family val="2"/>
    </font>
    <font>
      <sz val="10"/>
      <color theme="1"/>
      <name val="Arial Unicode MS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34">
    <xf numFmtId="0" fontId="0" fillId="0" borderId="0" xfId="0"/>
    <xf numFmtId="0" fontId="1" fillId="0" borderId="0" xfId="0" applyFont="1" applyAlignment="1">
      <alignment vertical="center" wrapText="1"/>
    </xf>
    <xf numFmtId="0" fontId="2" fillId="0" borderId="0" xfId="0" applyFont="1" applyAlignment="1">
      <alignment vertical="center" wrapText="1"/>
    </xf>
    <xf numFmtId="0" fontId="3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14" fontId="0" fillId="0" borderId="0" xfId="0" applyNumberFormat="1"/>
    <xf numFmtId="0" fontId="6" fillId="0" borderId="0" xfId="0" applyFont="1"/>
    <xf numFmtId="0" fontId="0" fillId="0" borderId="0" xfId="0" applyAlignment="1"/>
    <xf numFmtId="0" fontId="7" fillId="0" borderId="0" xfId="0" applyFont="1"/>
    <xf numFmtId="0" fontId="8" fillId="0" borderId="0" xfId="0" applyFont="1"/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43" fontId="8" fillId="0" borderId="0" xfId="1" applyFont="1" applyAlignment="1"/>
    <xf numFmtId="0" fontId="9" fillId="0" borderId="0" xfId="0" applyFont="1" applyAlignment="1">
      <alignment vertical="center"/>
    </xf>
    <xf numFmtId="0" fontId="9" fillId="0" borderId="0" xfId="0" applyFont="1" applyAlignment="1">
      <alignment vertical="center" wrapText="1"/>
    </xf>
    <xf numFmtId="0" fontId="10" fillId="0" borderId="0" xfId="0" applyFont="1" applyAlignment="1">
      <alignment vertical="center"/>
    </xf>
    <xf numFmtId="43" fontId="8" fillId="0" borderId="0" xfId="1" applyFont="1"/>
    <xf numFmtId="164" fontId="7" fillId="0" borderId="0" xfId="0" applyNumberFormat="1" applyFont="1"/>
    <xf numFmtId="0" fontId="11" fillId="0" borderId="0" xfId="0" applyFont="1" applyAlignment="1">
      <alignment vertical="center" wrapText="1"/>
    </xf>
    <xf numFmtId="0" fontId="9" fillId="0" borderId="0" xfId="0" applyFont="1"/>
    <xf numFmtId="0" fontId="12" fillId="0" borderId="0" xfId="0" applyFont="1"/>
    <xf numFmtId="0" fontId="13" fillId="0" borderId="0" xfId="0" applyFont="1" applyFill="1"/>
    <xf numFmtId="0" fontId="0" fillId="2" borderId="0" xfId="0" applyFill="1"/>
    <xf numFmtId="0" fontId="0" fillId="0" borderId="0" xfId="0" applyAlignment="1">
      <alignment horizontal="center"/>
    </xf>
    <xf numFmtId="43" fontId="0" fillId="0" borderId="0" xfId="0" applyNumberFormat="1"/>
    <xf numFmtId="0" fontId="0" fillId="0" borderId="0" xfId="0" applyFont="1"/>
    <xf numFmtId="0" fontId="0" fillId="0" borderId="0" xfId="0" quotePrefix="1"/>
    <xf numFmtId="0" fontId="0" fillId="0" borderId="0" xfId="0" quotePrefix="1" applyAlignment="1">
      <alignment horizontal="center"/>
    </xf>
    <xf numFmtId="165" fontId="8" fillId="0" borderId="0" xfId="2" applyNumberFormat="1" applyFont="1" applyAlignment="1"/>
    <xf numFmtId="0" fontId="14" fillId="0" borderId="0" xfId="3"/>
    <xf numFmtId="0" fontId="14" fillId="0" borderId="0" xfId="3" applyFont="1"/>
    <xf numFmtId="0" fontId="0" fillId="0" borderId="0" xfId="0" applyFill="1"/>
    <xf numFmtId="0" fontId="15" fillId="0" borderId="0" xfId="0" applyFont="1"/>
    <xf numFmtId="14" fontId="8" fillId="0" borderId="0" xfId="1" applyNumberFormat="1" applyFont="1" applyAlignment="1"/>
  </cellXfs>
  <cellStyles count="4">
    <cellStyle name="Komma" xfId="1" builtinId="3"/>
    <cellStyle name="Link" xfId="3" builtinId="8"/>
    <cellStyle name="Prozent" xfId="2" builtinId="5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CH"/>
              <a:t>Current</a:t>
            </a:r>
            <a:r>
              <a:rPr lang="it-CH" baseline="0"/>
              <a:t> Accounting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'Example Evolution'!$B$4</c:f>
              <c:strCache>
                <c:ptCount val="1"/>
                <c:pt idx="0">
                  <c:v>Cash evolution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'Example Evolution'!$C$4:$E$4</c:f>
              <c:numCache>
                <c:formatCode>_(* #,##0.00_);_(* \(#,##0.00\);_(* "-"??_);_(@_)</c:formatCode>
                <c:ptCount val="3"/>
                <c:pt idx="0">
                  <c:v>17438.18</c:v>
                </c:pt>
                <c:pt idx="1">
                  <c:v>18988.18</c:v>
                </c:pt>
                <c:pt idx="2">
                  <c:v>17738.18</c:v>
                </c:pt>
              </c:numCache>
            </c:numRef>
          </c:val>
        </c:ser>
        <c:ser>
          <c:idx val="1"/>
          <c:order val="1"/>
          <c:tx>
            <c:strRef>
              <c:f>'Example Evolution'!$B$5</c:f>
              <c:strCache>
                <c:ptCount val="1"/>
                <c:pt idx="0">
                  <c:v>Total INCOME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'Example Evolution'!$C$5:$E$5</c:f>
              <c:numCache>
                <c:formatCode>_(* #,##0.00_);_(* \(#,##0.00\);_(* "-"??_);_(@_)</c:formatCode>
                <c:ptCount val="3"/>
                <c:pt idx="0">
                  <c:v>-5909.09</c:v>
                </c:pt>
                <c:pt idx="1">
                  <c:v>-8454.5400000000009</c:v>
                </c:pt>
                <c:pt idx="2">
                  <c:v>-8454.5400000000009</c:v>
                </c:pt>
              </c:numCache>
            </c:numRef>
          </c:val>
        </c:ser>
        <c:ser>
          <c:idx val="2"/>
          <c:order val="2"/>
          <c:tx>
            <c:strRef>
              <c:f>'Example Evolution'!$B$6</c:f>
              <c:strCache>
                <c:ptCount val="1"/>
                <c:pt idx="0">
                  <c:v>Total EXPENSES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'Example Evolution'!$C$6:$E$6</c:f>
              <c:numCache>
                <c:formatCode>_(* #,##0.00_);_(* \(#,##0.00\);_(* "-"??_);_(@_)</c:formatCode>
                <c:ptCount val="3"/>
                <c:pt idx="0">
                  <c:v>1077.27</c:v>
                </c:pt>
                <c:pt idx="1">
                  <c:v>4400</c:v>
                </c:pt>
                <c:pt idx="2">
                  <c:v>8359.09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67589712"/>
        <c:axId val="967590256"/>
      </c:barChart>
      <c:catAx>
        <c:axId val="9675897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7590256"/>
        <c:crosses val="autoZero"/>
        <c:auto val="1"/>
        <c:lblAlgn val="ctr"/>
        <c:lblOffset val="100"/>
        <c:noMultiLvlLbl val="0"/>
      </c:catAx>
      <c:valAx>
        <c:axId val="96759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7589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CH"/>
              <a:t>Budget</a:t>
            </a:r>
            <a:r>
              <a:rPr lang="it-CH" baseline="0"/>
              <a:t> Data</a:t>
            </a:r>
            <a:endParaRPr lang="it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'Example Evolution'!$B$9:$B$12</c:f>
              <c:strCache>
                <c:ptCount val="4"/>
                <c:pt idx="0">
                  <c:v>Budget Data</c:v>
                </c:pt>
                <c:pt idx="1">
                  <c:v>Cash evolution</c:v>
                </c:pt>
                <c:pt idx="2">
                  <c:v>Total INCOME</c:v>
                </c:pt>
                <c:pt idx="3">
                  <c:v>Total EXPENSES</c:v>
                </c:pt>
              </c:strCache>
            </c:strRef>
          </c:cat>
          <c:val>
            <c:numRef>
              <c:f>'Example Evolution'!$C$9:$C$12</c:f>
              <c:numCache>
                <c:formatCode>_(* #,##0.00_);_(* \(#,##0.00\);_(* "-"??_);_(@_)</c:formatCode>
                <c:ptCount val="4"/>
                <c:pt idx="1">
                  <c:v>26070</c:v>
                </c:pt>
                <c:pt idx="2">
                  <c:v>7272.73</c:v>
                </c:pt>
                <c:pt idx="3">
                  <c:v>-1000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'Example Evolution'!$B$9:$B$12</c:f>
              <c:strCache>
                <c:ptCount val="4"/>
                <c:pt idx="0">
                  <c:v>Budget Data</c:v>
                </c:pt>
                <c:pt idx="1">
                  <c:v>Cash evolution</c:v>
                </c:pt>
                <c:pt idx="2">
                  <c:v>Total INCOME</c:v>
                </c:pt>
                <c:pt idx="3">
                  <c:v>Total EXPENSES</c:v>
                </c:pt>
              </c:strCache>
            </c:strRef>
          </c:cat>
          <c:val>
            <c:numRef>
              <c:f>'Example Evolution'!$D$9:$D$12</c:f>
              <c:numCache>
                <c:formatCode>_(* #,##0.00_);_(* \(#,##0.00\);_(* "-"??_);_(@_)</c:formatCode>
                <c:ptCount val="4"/>
                <c:pt idx="1">
                  <c:v>33070</c:v>
                </c:pt>
                <c:pt idx="2">
                  <c:v>7272.73</c:v>
                </c:pt>
                <c:pt idx="3">
                  <c:v>-1000</c:v>
                </c:pt>
              </c:numCache>
            </c:numRef>
          </c:val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'Example Evolution'!$B$9:$B$12</c:f>
              <c:strCache>
                <c:ptCount val="4"/>
                <c:pt idx="0">
                  <c:v>Budget Data</c:v>
                </c:pt>
                <c:pt idx="1">
                  <c:v>Cash evolution</c:v>
                </c:pt>
                <c:pt idx="2">
                  <c:v>Total INCOME</c:v>
                </c:pt>
                <c:pt idx="3">
                  <c:v>Total EXPENSES</c:v>
                </c:pt>
              </c:strCache>
            </c:strRef>
          </c:cat>
          <c:val>
            <c:numRef>
              <c:f>'Example Evolution'!$E$9:$E$12</c:f>
              <c:numCache>
                <c:formatCode>_(* #,##0.00_);_(* \(#,##0.00\);_(* "-"??_);_(@_)</c:formatCode>
                <c:ptCount val="4"/>
                <c:pt idx="1">
                  <c:v>40070</c:v>
                </c:pt>
                <c:pt idx="2">
                  <c:v>7272.73</c:v>
                </c:pt>
                <c:pt idx="3">
                  <c:v>-1000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67584272"/>
        <c:axId val="967592976"/>
      </c:barChart>
      <c:catAx>
        <c:axId val="967584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7592976"/>
        <c:crosses val="autoZero"/>
        <c:auto val="1"/>
        <c:lblAlgn val="ctr"/>
        <c:lblOffset val="100"/>
        <c:noMultiLvlLbl val="0"/>
      </c:catAx>
      <c:valAx>
        <c:axId val="967592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7584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CH"/>
              <a:t>Month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PreviousYear!$C$2:$C$3</c:f>
              <c:strCache>
                <c:ptCount val="2"/>
                <c:pt idx="0">
                  <c:v>Current</c:v>
                </c:pt>
                <c:pt idx="1">
                  <c:v>M1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PreviousYear!$B$4:$B$7</c:f>
              <c:strCache>
                <c:ptCount val="4"/>
                <c:pt idx="0">
                  <c:v>Cash evolution</c:v>
                </c:pt>
                <c:pt idx="1">
                  <c:v>Total INCOME</c:v>
                </c:pt>
                <c:pt idx="2">
                  <c:v>Total EXPENSES</c:v>
                </c:pt>
                <c:pt idx="3">
                  <c:v>Result</c:v>
                </c:pt>
              </c:strCache>
            </c:strRef>
          </c:cat>
          <c:val>
            <c:numRef>
              <c:f>PreviousYear!$C$4:$C$7</c:f>
              <c:numCache>
                <c:formatCode>_(* #,##0.00_);_(* \(#,##0.00\);_(* "-"??_);_(@_)</c:formatCode>
                <c:ptCount val="4"/>
                <c:pt idx="0">
                  <c:v>17438.18</c:v>
                </c:pt>
                <c:pt idx="1">
                  <c:v>5909.09</c:v>
                </c:pt>
                <c:pt idx="2">
                  <c:v>1077.27</c:v>
                </c:pt>
                <c:pt idx="3">
                  <c:v>4831.82</c:v>
                </c:pt>
              </c:numCache>
            </c:numRef>
          </c:val>
        </c:ser>
        <c:ser>
          <c:idx val="1"/>
          <c:order val="1"/>
          <c:tx>
            <c:strRef>
              <c:f>PreviousYear!$D$2:$D$3</c:f>
              <c:strCache>
                <c:ptCount val="2"/>
                <c:pt idx="0">
                  <c:v>Last</c:v>
                </c:pt>
                <c:pt idx="1">
                  <c:v>M1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PreviousYear!$B$4:$B$7</c:f>
              <c:strCache>
                <c:ptCount val="4"/>
                <c:pt idx="0">
                  <c:v>Cash evolution</c:v>
                </c:pt>
                <c:pt idx="1">
                  <c:v>Total INCOME</c:v>
                </c:pt>
                <c:pt idx="2">
                  <c:v>Total EXPENSES</c:v>
                </c:pt>
                <c:pt idx="3">
                  <c:v>Result</c:v>
                </c:pt>
              </c:strCache>
            </c:strRef>
          </c:cat>
          <c:val>
            <c:numRef>
              <c:f>PreviousYear!$D$4:$D$7</c:f>
              <c:numCache>
                <c:formatCode>_(* #,##0.00_);_(* \(#,##0.00\);_(* "-"??_);_(@_)</c:formatCode>
                <c:ptCount val="4"/>
                <c:pt idx="0">
                  <c:v>18970</c:v>
                </c:pt>
                <c:pt idx="1">
                  <c:v>7272.72</c:v>
                </c:pt>
                <c:pt idx="2">
                  <c:v>1027.27</c:v>
                </c:pt>
                <c:pt idx="3">
                  <c:v>6245.4500000000007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67594608"/>
        <c:axId val="950650384"/>
      </c:barChart>
      <c:catAx>
        <c:axId val="96759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0650384"/>
        <c:crosses val="autoZero"/>
        <c:auto val="1"/>
        <c:lblAlgn val="ctr"/>
        <c:lblOffset val="100"/>
        <c:noMultiLvlLbl val="0"/>
      </c:catAx>
      <c:valAx>
        <c:axId val="95065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759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866775</xdr:colOff>
          <xdr:row>4</xdr:row>
          <xdr:rowOff>95250</xdr:rowOff>
        </xdr:from>
        <xdr:to>
          <xdr:col>1</xdr:col>
          <xdr:colOff>2324100</xdr:colOff>
          <xdr:row>6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290512</xdr:colOff>
      <xdr:row>16</xdr:row>
      <xdr:rowOff>19049</xdr:rowOff>
    </xdr:from>
    <xdr:to>
      <xdr:col>3</xdr:col>
      <xdr:colOff>166687</xdr:colOff>
      <xdr:row>30</xdr:row>
      <xdr:rowOff>9524</xdr:rowOff>
    </xdr:to>
    <xdr:graphicFrame macro="">
      <xdr:nvGraphicFramePr>
        <xdr:cNvPr id="3" name="Gra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414337</xdr:colOff>
      <xdr:row>15</xdr:row>
      <xdr:rowOff>161925</xdr:rowOff>
    </xdr:from>
    <xdr:to>
      <xdr:col>8</xdr:col>
      <xdr:colOff>547687</xdr:colOff>
      <xdr:row>30</xdr:row>
      <xdr:rowOff>47625</xdr:rowOff>
    </xdr:to>
    <xdr:graphicFrame macro="">
      <xdr:nvGraphicFramePr>
        <xdr:cNvPr id="5" name="Gra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1524000</xdr:colOff>
      <xdr:row>10</xdr:row>
      <xdr:rowOff>114300</xdr:rowOff>
    </xdr:from>
    <xdr:to>
      <xdr:col>7</xdr:col>
      <xdr:colOff>619125</xdr:colOff>
      <xdr:row>25</xdr:row>
      <xdr:rowOff>0</xdr:rowOff>
    </xdr:to>
    <xdr:graphicFrame macro="">
      <xdr:nvGraphicFramePr>
        <xdr:cNvPr id="3" name="Gra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://www.banana.ch/cms/en/node/4999" TargetMode="External"/><Relationship Id="rId1" Type="http://schemas.openxmlformats.org/officeDocument/2006/relationships/hyperlink" Target="http://www.apache.org/licenses/LICENSE-2.0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/>
  <dimension ref="A1:A21"/>
  <sheetViews>
    <sheetView workbookViewId="0">
      <selection activeCell="A6" sqref="A6"/>
    </sheetView>
  </sheetViews>
  <sheetFormatPr baseColWidth="10" defaultColWidth="9.140625" defaultRowHeight="15" x14ac:dyDescent="0.25"/>
  <cols>
    <col min="1" max="1" width="83.5703125" customWidth="1"/>
  </cols>
  <sheetData>
    <row r="1" spans="1:1" x14ac:dyDescent="0.25">
      <c r="A1" s="20" t="s">
        <v>60</v>
      </c>
    </row>
    <row r="3" spans="1:1" x14ac:dyDescent="0.25">
      <c r="A3" s="20" t="s">
        <v>58</v>
      </c>
    </row>
    <row r="4" spans="1:1" x14ac:dyDescent="0.25">
      <c r="A4" s="29" t="s">
        <v>59</v>
      </c>
    </row>
    <row r="5" spans="1:1" x14ac:dyDescent="0.25">
      <c r="A5" s="31"/>
    </row>
    <row r="7" spans="1:1" x14ac:dyDescent="0.25">
      <c r="A7" s="20" t="s">
        <v>64</v>
      </c>
    </row>
    <row r="8" spans="1:1" x14ac:dyDescent="0.25">
      <c r="A8" s="25" t="s">
        <v>47</v>
      </c>
    </row>
    <row r="9" spans="1:1" x14ac:dyDescent="0.25">
      <c r="A9" s="25" t="s">
        <v>48</v>
      </c>
    </row>
    <row r="10" spans="1:1" x14ac:dyDescent="0.25">
      <c r="A10" s="25" t="s">
        <v>49</v>
      </c>
    </row>
    <row r="11" spans="1:1" x14ac:dyDescent="0.25">
      <c r="A11" s="25" t="s">
        <v>50</v>
      </c>
    </row>
    <row r="12" spans="1:1" x14ac:dyDescent="0.25">
      <c r="A12" s="25" t="s">
        <v>51</v>
      </c>
    </row>
    <row r="13" spans="1:1" x14ac:dyDescent="0.25">
      <c r="A13" s="25" t="s">
        <v>48</v>
      </c>
    </row>
    <row r="14" spans="1:1" x14ac:dyDescent="0.25">
      <c r="A14" s="30" t="s">
        <v>52</v>
      </c>
    </row>
    <row r="15" spans="1:1" x14ac:dyDescent="0.25">
      <c r="A15" s="25" t="s">
        <v>48</v>
      </c>
    </row>
    <row r="16" spans="1:1" x14ac:dyDescent="0.25">
      <c r="A16" s="25" t="s">
        <v>53</v>
      </c>
    </row>
    <row r="17" spans="1:1" x14ac:dyDescent="0.25">
      <c r="A17" s="25" t="s">
        <v>54</v>
      </c>
    </row>
    <row r="18" spans="1:1" x14ac:dyDescent="0.25">
      <c r="A18" s="25" t="s">
        <v>55</v>
      </c>
    </row>
    <row r="19" spans="1:1" x14ac:dyDescent="0.25">
      <c r="A19" s="25" t="s">
        <v>56</v>
      </c>
    </row>
    <row r="20" spans="1:1" x14ac:dyDescent="0.25">
      <c r="A20" s="25" t="s">
        <v>57</v>
      </c>
    </row>
    <row r="21" spans="1:1" x14ac:dyDescent="0.25">
      <c r="A21" s="25" t="s">
        <v>48</v>
      </c>
    </row>
  </sheetData>
  <hyperlinks>
    <hyperlink ref="A14" r:id="rId1"/>
    <hyperlink ref="A4" r:id="rId2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1:F88"/>
  <sheetViews>
    <sheetView tabSelected="1" workbookViewId="0">
      <selection activeCell="A14" sqref="A14"/>
    </sheetView>
  </sheetViews>
  <sheetFormatPr baseColWidth="10" defaultColWidth="9.140625" defaultRowHeight="15" x14ac:dyDescent="0.25"/>
  <cols>
    <col min="1" max="1" width="28.140625" customWidth="1"/>
    <col min="2" max="2" width="42.140625" customWidth="1"/>
    <col min="3" max="3" width="15.28515625" customWidth="1"/>
    <col min="4" max="4" width="14" customWidth="1"/>
    <col min="5" max="5" width="11.42578125" customWidth="1"/>
    <col min="6" max="6" width="12" customWidth="1"/>
  </cols>
  <sheetData>
    <row r="1" spans="1:5" ht="15.75" x14ac:dyDescent="0.25">
      <c r="A1" s="32" t="s">
        <v>7</v>
      </c>
    </row>
    <row r="2" spans="1:5" x14ac:dyDescent="0.25">
      <c r="A2" t="s">
        <v>67</v>
      </c>
    </row>
    <row r="3" spans="1:5" x14ac:dyDescent="0.25">
      <c r="A3" t="s">
        <v>62</v>
      </c>
    </row>
    <row r="4" spans="1:5" x14ac:dyDescent="0.25">
      <c r="A4" t="s">
        <v>66</v>
      </c>
    </row>
    <row r="5" spans="1:5" ht="15.75" x14ac:dyDescent="0.25">
      <c r="A5" s="6"/>
    </row>
    <row r="6" spans="1:5" x14ac:dyDescent="0.25">
      <c r="A6" s="21" t="s">
        <v>6</v>
      </c>
    </row>
    <row r="7" spans="1:5" x14ac:dyDescent="0.25">
      <c r="A7" s="21"/>
    </row>
    <row r="8" spans="1:5" x14ac:dyDescent="0.25">
      <c r="A8" s="21"/>
    </row>
    <row r="9" spans="1:5" x14ac:dyDescent="0.25">
      <c r="B9" s="29"/>
      <c r="E9" s="26"/>
    </row>
    <row r="10" spans="1:5" x14ac:dyDescent="0.25">
      <c r="A10" t="s">
        <v>37</v>
      </c>
      <c r="B10" s="22" t="s">
        <v>38</v>
      </c>
      <c r="C10" t="str">
        <f>IF(B12="","Banana not open, file not open or WebServer not active","Banana Connection OK")</f>
        <v>Banana Connection OK</v>
      </c>
    </row>
    <row r="11" spans="1:5" x14ac:dyDescent="0.25">
      <c r="A11" t="s">
        <v>40</v>
      </c>
      <c r="B11" s="22" t="s">
        <v>41</v>
      </c>
    </row>
    <row r="12" spans="1:5" x14ac:dyDescent="0.25">
      <c r="A12" s="20" t="s">
        <v>22</v>
      </c>
      <c r="B12" s="20" t="str">
        <f>BFileName( B10)</f>
        <v>company-2015.ac2</v>
      </c>
      <c r="C12" t="s">
        <v>23</v>
      </c>
    </row>
    <row r="13" spans="1:5" x14ac:dyDescent="0.25">
      <c r="A13" s="20" t="s">
        <v>39</v>
      </c>
      <c r="B13" s="20" t="str">
        <f>BFileName( B11)</f>
        <v>company-2014.ac2</v>
      </c>
      <c r="C13" t="s">
        <v>42</v>
      </c>
    </row>
    <row r="16" spans="1:5" x14ac:dyDescent="0.25">
      <c r="D16" s="5"/>
    </row>
    <row r="17" spans="1:6" x14ac:dyDescent="0.25">
      <c r="D17" s="5"/>
    </row>
    <row r="18" spans="1:6" x14ac:dyDescent="0.25">
      <c r="A18" t="s">
        <v>73</v>
      </c>
      <c r="B18" s="25" t="str">
        <f>BFunctionsVersion()</f>
        <v>2015-05-12</v>
      </c>
      <c r="D18" s="5"/>
    </row>
    <row r="19" spans="1:6" x14ac:dyDescent="0.25">
      <c r="B19" s="20"/>
      <c r="C19" s="25"/>
      <c r="E19" s="12"/>
      <c r="F19" s="12"/>
    </row>
    <row r="20" spans="1:6" x14ac:dyDescent="0.25">
      <c r="E20" s="12"/>
      <c r="F20" s="12"/>
    </row>
    <row r="21" spans="1:6" x14ac:dyDescent="0.25">
      <c r="A21" s="8"/>
      <c r="B21" s="19"/>
      <c r="C21" s="19"/>
      <c r="D21" s="9"/>
      <c r="E21" s="9"/>
      <c r="F21" s="9"/>
    </row>
    <row r="22" spans="1:6" x14ac:dyDescent="0.25">
      <c r="A22" s="10"/>
      <c r="B22" s="11"/>
      <c r="C22" s="11"/>
      <c r="D22" s="12"/>
      <c r="E22" s="12"/>
      <c r="F22" s="12"/>
    </row>
    <row r="23" spans="1:6" x14ac:dyDescent="0.25">
      <c r="A23" s="8"/>
      <c r="B23" s="8"/>
      <c r="C23" s="8"/>
      <c r="D23" s="9"/>
      <c r="E23" s="9"/>
      <c r="F23" s="9"/>
    </row>
    <row r="24" spans="1:6" s="7" customFormat="1" x14ac:dyDescent="0.25">
      <c r="A24" s="10"/>
      <c r="B24" s="11"/>
      <c r="C24" s="11"/>
      <c r="D24" s="12"/>
      <c r="E24" s="12"/>
      <c r="F24" s="12"/>
    </row>
    <row r="25" spans="1:6" s="7" customFormat="1" x14ac:dyDescent="0.25">
      <c r="A25" s="10"/>
      <c r="B25" s="11"/>
      <c r="C25" s="11"/>
      <c r="D25" s="12"/>
      <c r="E25" s="12"/>
      <c r="F25" s="12"/>
    </row>
    <row r="26" spans="1:6" s="7" customFormat="1" x14ac:dyDescent="0.25">
      <c r="A26" s="10"/>
      <c r="B26" s="11"/>
      <c r="C26" s="11"/>
      <c r="D26" s="12"/>
      <c r="E26" s="12"/>
      <c r="F26" s="12"/>
    </row>
    <row r="27" spans="1:6" s="7" customFormat="1" x14ac:dyDescent="0.25">
      <c r="A27" s="10"/>
      <c r="B27" s="11"/>
      <c r="C27" s="11"/>
      <c r="D27" s="12"/>
      <c r="E27" s="12"/>
      <c r="F27" s="12"/>
    </row>
    <row r="28" spans="1:6" s="7" customFormat="1" x14ac:dyDescent="0.25">
      <c r="A28" s="13"/>
      <c r="B28" s="14"/>
      <c r="C28" s="14"/>
      <c r="D28" s="12"/>
      <c r="E28" s="12"/>
      <c r="F28" s="12"/>
    </row>
    <row r="29" spans="1:6" s="7" customFormat="1" x14ac:dyDescent="0.25">
      <c r="A29" s="10"/>
      <c r="B29" s="11"/>
      <c r="C29" s="11"/>
      <c r="D29" s="12"/>
      <c r="E29" s="12"/>
      <c r="F29" s="12"/>
    </row>
    <row r="30" spans="1:6" s="7" customFormat="1" x14ac:dyDescent="0.25">
      <c r="A30" s="10"/>
      <c r="B30" s="11"/>
      <c r="C30" s="11"/>
      <c r="D30" s="12"/>
      <c r="E30" s="12"/>
      <c r="F30" s="12"/>
    </row>
    <row r="31" spans="1:6" s="7" customFormat="1" x14ac:dyDescent="0.25">
      <c r="A31" s="15"/>
      <c r="B31" s="11"/>
      <c r="C31" s="11"/>
      <c r="D31" s="12"/>
      <c r="E31" s="12"/>
      <c r="F31" s="12"/>
    </row>
    <row r="32" spans="1:6" x14ac:dyDescent="0.25">
      <c r="A32" s="11"/>
      <c r="B32" s="14"/>
      <c r="C32" s="14"/>
      <c r="D32" s="16"/>
      <c r="E32" s="16"/>
      <c r="F32" s="16"/>
    </row>
    <row r="33" spans="1:6" x14ac:dyDescent="0.25">
      <c r="A33" s="11"/>
      <c r="B33" s="11"/>
      <c r="C33" s="11"/>
      <c r="D33" s="16"/>
      <c r="E33" s="16"/>
      <c r="F33" s="16"/>
    </row>
    <row r="34" spans="1:6" x14ac:dyDescent="0.25">
      <c r="A34" s="11"/>
      <c r="B34" s="11"/>
      <c r="C34" s="11"/>
      <c r="D34" s="16"/>
      <c r="E34" s="16"/>
      <c r="F34" s="16"/>
    </row>
    <row r="35" spans="1:6" x14ac:dyDescent="0.25">
      <c r="A35" s="11"/>
      <c r="B35" s="11"/>
      <c r="C35" s="11"/>
      <c r="D35" s="16"/>
      <c r="E35" s="16"/>
      <c r="F35" s="16"/>
    </row>
    <row r="36" spans="1:6" x14ac:dyDescent="0.25">
      <c r="A36" s="11"/>
      <c r="B36" s="14"/>
      <c r="C36" s="14"/>
      <c r="D36" s="16"/>
      <c r="E36" s="16"/>
      <c r="F36" s="16"/>
    </row>
    <row r="37" spans="1:6" x14ac:dyDescent="0.25">
      <c r="A37" s="10"/>
      <c r="B37" s="11"/>
      <c r="C37" s="11"/>
      <c r="D37" s="12"/>
      <c r="E37" s="12"/>
      <c r="F37" s="12"/>
    </row>
    <row r="38" spans="1:6" x14ac:dyDescent="0.25">
      <c r="A38" s="10"/>
      <c r="B38" s="11"/>
      <c r="C38" s="11"/>
      <c r="D38" s="12"/>
      <c r="E38" s="12"/>
      <c r="F38" s="12"/>
    </row>
    <row r="39" spans="1:6" x14ac:dyDescent="0.25">
      <c r="A39" s="10"/>
      <c r="B39" s="11"/>
      <c r="C39" s="11"/>
      <c r="D39" s="12"/>
      <c r="E39" s="12"/>
      <c r="F39" s="12"/>
    </row>
    <row r="40" spans="1:6" x14ac:dyDescent="0.25">
      <c r="A40" s="8"/>
      <c r="B40" s="19"/>
      <c r="C40" s="19"/>
      <c r="D40" s="9"/>
      <c r="E40" s="9"/>
      <c r="F40" s="9"/>
    </row>
    <row r="41" spans="1:6" x14ac:dyDescent="0.25">
      <c r="A41" s="10"/>
      <c r="B41" s="11"/>
      <c r="C41" s="11"/>
      <c r="D41" s="12"/>
      <c r="E41" s="12"/>
      <c r="F41" s="12"/>
    </row>
    <row r="42" spans="1:6" x14ac:dyDescent="0.25">
      <c r="A42" s="10"/>
      <c r="B42" s="11"/>
      <c r="C42" s="11"/>
      <c r="D42" s="12"/>
      <c r="E42" s="12"/>
      <c r="F42" s="12"/>
    </row>
    <row r="43" spans="1:6" x14ac:dyDescent="0.25">
      <c r="A43" s="8"/>
      <c r="B43" s="19"/>
      <c r="C43" s="19"/>
      <c r="D43" s="9"/>
      <c r="E43" s="9"/>
      <c r="F43" s="9"/>
    </row>
    <row r="44" spans="1:6" x14ac:dyDescent="0.25">
      <c r="A44" s="10"/>
      <c r="B44" s="11"/>
      <c r="C44" s="11"/>
      <c r="D44" s="12"/>
      <c r="E44" s="12"/>
      <c r="F44" s="12"/>
    </row>
    <row r="45" spans="1:6" x14ac:dyDescent="0.25">
      <c r="A45" s="10"/>
      <c r="B45" s="11"/>
      <c r="C45" s="11"/>
      <c r="D45" s="12"/>
      <c r="E45" s="12"/>
      <c r="F45" s="12"/>
    </row>
    <row r="46" spans="1:6" x14ac:dyDescent="0.25">
      <c r="A46" s="10"/>
      <c r="B46" s="14"/>
      <c r="C46" s="14"/>
      <c r="D46" s="12"/>
      <c r="E46" s="12"/>
      <c r="F46" s="12"/>
    </row>
    <row r="47" spans="1:6" x14ac:dyDescent="0.25">
      <c r="A47" s="10"/>
      <c r="B47" s="11"/>
      <c r="C47" s="11"/>
      <c r="D47" s="12"/>
      <c r="E47" s="12"/>
      <c r="F47" s="12"/>
    </row>
    <row r="48" spans="1:6" x14ac:dyDescent="0.25">
      <c r="A48" s="10"/>
      <c r="B48" s="11"/>
      <c r="C48" s="11"/>
      <c r="D48" s="12"/>
      <c r="E48" s="12"/>
      <c r="F48" s="12"/>
    </row>
    <row r="49" spans="1:6" x14ac:dyDescent="0.25">
      <c r="A49" s="11"/>
      <c r="B49" s="14"/>
      <c r="C49" s="14"/>
      <c r="D49" s="9"/>
      <c r="E49" s="9"/>
      <c r="F49" s="9"/>
    </row>
    <row r="50" spans="1:6" x14ac:dyDescent="0.25">
      <c r="A50" s="11"/>
      <c r="B50" s="8"/>
      <c r="C50" s="8"/>
      <c r="D50" s="9"/>
      <c r="E50" s="9"/>
      <c r="F50" s="9"/>
    </row>
    <row r="51" spans="1:6" x14ac:dyDescent="0.25">
      <c r="A51" s="14"/>
      <c r="B51" s="8"/>
      <c r="C51" s="8"/>
      <c r="D51" s="9"/>
      <c r="E51" s="9"/>
      <c r="F51" s="9"/>
    </row>
    <row r="52" spans="1:6" x14ac:dyDescent="0.25">
      <c r="A52" s="8"/>
      <c r="B52" s="17"/>
      <c r="C52" s="17"/>
      <c r="D52" s="9"/>
      <c r="E52" s="9"/>
      <c r="F52" s="9"/>
    </row>
    <row r="53" spans="1:6" x14ac:dyDescent="0.25">
      <c r="A53" s="18"/>
      <c r="B53" s="9"/>
      <c r="C53" s="9"/>
      <c r="D53" s="9"/>
      <c r="E53" s="9"/>
      <c r="F53" s="9"/>
    </row>
    <row r="54" spans="1:6" x14ac:dyDescent="0.25">
      <c r="A54" s="1"/>
    </row>
    <row r="55" spans="1:6" x14ac:dyDescent="0.25">
      <c r="A55" s="1"/>
      <c r="B55" s="14"/>
      <c r="C55" s="1"/>
    </row>
    <row r="56" spans="1:6" x14ac:dyDescent="0.25">
      <c r="C56" s="1"/>
    </row>
    <row r="57" spans="1:6" x14ac:dyDescent="0.25">
      <c r="C57" s="1"/>
    </row>
    <row r="58" spans="1:6" x14ac:dyDescent="0.25">
      <c r="C58" s="1"/>
    </row>
    <row r="59" spans="1:6" x14ac:dyDescent="0.25">
      <c r="C59" s="1"/>
    </row>
    <row r="60" spans="1:6" x14ac:dyDescent="0.25">
      <c r="C60" s="1"/>
    </row>
    <row r="61" spans="1:6" x14ac:dyDescent="0.25">
      <c r="C61" s="1"/>
    </row>
    <row r="62" spans="1:6" x14ac:dyDescent="0.25">
      <c r="A62" s="1"/>
      <c r="B62" s="1"/>
      <c r="C62" s="1"/>
    </row>
    <row r="63" spans="1:6" x14ac:dyDescent="0.25">
      <c r="A63" s="2"/>
      <c r="B63" s="1"/>
      <c r="C63" s="1"/>
    </row>
    <row r="64" spans="1:6" x14ac:dyDescent="0.25">
      <c r="A64" s="1"/>
      <c r="B64" s="1"/>
      <c r="C64" s="1"/>
    </row>
    <row r="65" spans="1:3" x14ac:dyDescent="0.25">
      <c r="A65" s="1"/>
      <c r="B65" s="1"/>
      <c r="C65" s="1"/>
    </row>
    <row r="66" spans="1:3" x14ac:dyDescent="0.25">
      <c r="A66" s="1"/>
      <c r="B66" s="1"/>
      <c r="C66" s="1"/>
    </row>
    <row r="67" spans="1:3" x14ac:dyDescent="0.25">
      <c r="A67" s="2"/>
      <c r="B67" s="1"/>
      <c r="C67" s="1"/>
    </row>
    <row r="68" spans="1:3" x14ac:dyDescent="0.25">
      <c r="A68" s="3"/>
      <c r="B68" s="1"/>
      <c r="C68" s="1"/>
    </row>
    <row r="69" spans="1:3" x14ac:dyDescent="0.25">
      <c r="A69" s="1"/>
      <c r="B69" s="1"/>
      <c r="C69" s="1"/>
    </row>
    <row r="70" spans="1:3" x14ac:dyDescent="0.25">
      <c r="A70" s="1"/>
      <c r="B70" s="1"/>
      <c r="C70" s="1"/>
    </row>
    <row r="71" spans="1:3" x14ac:dyDescent="0.25">
      <c r="A71" s="1"/>
      <c r="B71" s="1"/>
      <c r="C71" s="1"/>
    </row>
    <row r="72" spans="1:3" x14ac:dyDescent="0.25">
      <c r="A72" s="3"/>
      <c r="B72" s="1"/>
      <c r="C72" s="1"/>
    </row>
    <row r="73" spans="1:3" x14ac:dyDescent="0.25">
      <c r="A73" s="1"/>
      <c r="B73" s="1"/>
      <c r="C73" s="1"/>
    </row>
    <row r="74" spans="1:3" x14ac:dyDescent="0.25">
      <c r="A74" s="1"/>
      <c r="B74" s="1"/>
      <c r="C74" s="1"/>
    </row>
    <row r="75" spans="1:3" x14ac:dyDescent="0.25">
      <c r="A75" s="3"/>
      <c r="B75" s="1"/>
      <c r="C75" s="1"/>
    </row>
    <row r="76" spans="1:3" x14ac:dyDescent="0.25">
      <c r="A76" s="4"/>
      <c r="B76" s="1"/>
      <c r="C76" s="1"/>
    </row>
    <row r="77" spans="1:3" x14ac:dyDescent="0.25">
      <c r="A77" s="1"/>
      <c r="B77" s="1"/>
      <c r="C77" s="1"/>
    </row>
    <row r="78" spans="1:3" x14ac:dyDescent="0.25">
      <c r="A78" s="1"/>
      <c r="B78" s="1"/>
      <c r="C78" s="1"/>
    </row>
    <row r="79" spans="1:3" x14ac:dyDescent="0.25">
      <c r="A79" s="2"/>
      <c r="B79" s="1"/>
      <c r="C79" s="1"/>
    </row>
    <row r="80" spans="1:3" x14ac:dyDescent="0.25">
      <c r="A80" s="1"/>
      <c r="B80" s="1"/>
      <c r="C80" s="1"/>
    </row>
    <row r="81" spans="1:3" x14ac:dyDescent="0.25">
      <c r="A81" s="1"/>
      <c r="B81" s="1"/>
      <c r="C81" s="1"/>
    </row>
    <row r="82" spans="1:3" x14ac:dyDescent="0.25">
      <c r="A82" s="1"/>
      <c r="B82" s="1"/>
      <c r="C82" s="1"/>
    </row>
    <row r="83" spans="1:3" x14ac:dyDescent="0.25">
      <c r="A83" s="1"/>
      <c r="B83" s="1"/>
      <c r="C83" s="1"/>
    </row>
    <row r="84" spans="1:3" x14ac:dyDescent="0.25">
      <c r="A84" s="4"/>
      <c r="B84" s="1"/>
      <c r="C84" s="1"/>
    </row>
    <row r="85" spans="1:3" x14ac:dyDescent="0.25">
      <c r="A85" s="2"/>
      <c r="B85" s="1"/>
      <c r="C85" s="1"/>
    </row>
    <row r="86" spans="1:3" x14ac:dyDescent="0.25">
      <c r="A86" s="1"/>
      <c r="B86" s="1"/>
      <c r="C86" s="1"/>
    </row>
    <row r="87" spans="1:3" x14ac:dyDescent="0.25">
      <c r="A87" s="1"/>
      <c r="B87" s="1"/>
      <c r="C87" s="1"/>
    </row>
    <row r="88" spans="1:3" x14ac:dyDescent="0.25">
      <c r="A88" s="1"/>
      <c r="B88" s="1"/>
      <c r="C88" s="1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calculateAll">
                <anchor moveWithCells="1" sizeWithCells="1">
                  <from>
                    <xdr:col>1</xdr:col>
                    <xdr:colOff>866775</xdr:colOff>
                    <xdr:row>4</xdr:row>
                    <xdr:rowOff>95250</xdr:rowOff>
                  </from>
                  <to>
                    <xdr:col>1</xdr:col>
                    <xdr:colOff>2324100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A1:F84"/>
  <sheetViews>
    <sheetView topLeftCell="A31" workbookViewId="0">
      <selection activeCell="D43" sqref="D43"/>
    </sheetView>
  </sheetViews>
  <sheetFormatPr baseColWidth="10" defaultColWidth="9.140625" defaultRowHeight="15" x14ac:dyDescent="0.25"/>
  <cols>
    <col min="1" max="1" width="28.140625" customWidth="1"/>
    <col min="2" max="2" width="42.140625" customWidth="1"/>
    <col min="3" max="3" width="15.28515625" customWidth="1"/>
    <col min="4" max="4" width="16" customWidth="1"/>
    <col min="5" max="5" width="13.42578125" customWidth="1"/>
    <col min="6" max="6" width="12.85546875" customWidth="1"/>
  </cols>
  <sheetData>
    <row r="1" spans="1:6" ht="15.75" x14ac:dyDescent="0.25">
      <c r="A1" s="6" t="s">
        <v>65</v>
      </c>
    </row>
    <row r="2" spans="1:6" ht="15.75" x14ac:dyDescent="0.25">
      <c r="A2" s="6"/>
    </row>
    <row r="3" spans="1:6" x14ac:dyDescent="0.25">
      <c r="A3" t="s">
        <v>1</v>
      </c>
      <c r="D3" s="5">
        <v>42005</v>
      </c>
    </row>
    <row r="4" spans="1:6" x14ac:dyDescent="0.25">
      <c r="A4" t="s">
        <v>0</v>
      </c>
      <c r="D4" s="5">
        <v>42063</v>
      </c>
      <c r="E4" s="33">
        <f>BStartPeriod(FName,E5)</f>
        <v>42005</v>
      </c>
    </row>
    <row r="5" spans="1:6" x14ac:dyDescent="0.25">
      <c r="A5" t="s">
        <v>2</v>
      </c>
      <c r="D5" s="5" t="str">
        <f>BCreatePeriod(D3,D4)</f>
        <v>2015-01-01/2015-02-28</v>
      </c>
      <c r="E5" t="s">
        <v>25</v>
      </c>
      <c r="F5" t="s">
        <v>5</v>
      </c>
    </row>
    <row r="6" spans="1:6" x14ac:dyDescent="0.25">
      <c r="B6" s="20" t="s">
        <v>21</v>
      </c>
      <c r="C6" s="25" t="s">
        <v>31</v>
      </c>
      <c r="E6" s="33">
        <f>BStartPeriod(FName,E$5)</f>
        <v>42005</v>
      </c>
      <c r="F6" s="33">
        <f>BEndPeriod(FName,F$5)</f>
        <v>42094</v>
      </c>
    </row>
    <row r="7" spans="1:6" x14ac:dyDescent="0.25">
      <c r="E7" s="12"/>
      <c r="F7" s="12"/>
    </row>
    <row r="8" spans="1:6" x14ac:dyDescent="0.25">
      <c r="A8" s="8"/>
      <c r="B8" s="19" t="s">
        <v>17</v>
      </c>
      <c r="C8" s="19"/>
      <c r="D8" s="9"/>
      <c r="E8" s="9"/>
      <c r="F8" s="9"/>
    </row>
    <row r="9" spans="1:6" x14ac:dyDescent="0.25">
      <c r="A9" s="10">
        <v>1000</v>
      </c>
      <c r="B9" s="11" t="str">
        <f ca="1">BAccountDescription(FName,A9)</f>
        <v xml:space="preserve">Cash </v>
      </c>
      <c r="C9" s="11" t="s">
        <v>32</v>
      </c>
      <c r="D9" s="12">
        <f ca="1">BOpening(FName,$A9,D$5)</f>
        <v>17570</v>
      </c>
      <c r="E9" s="12">
        <f ca="1">BOpening(FName,$A9,E$5)</f>
        <v>17570</v>
      </c>
      <c r="F9" s="12">
        <f ca="1">BOpening(FName,$A9,F$5)</f>
        <v>17570</v>
      </c>
    </row>
    <row r="10" spans="1:6" x14ac:dyDescent="0.25">
      <c r="A10" s="8"/>
      <c r="B10" s="8" t="s">
        <v>12</v>
      </c>
      <c r="C10" s="8"/>
      <c r="D10" s="9"/>
      <c r="E10" s="9"/>
      <c r="F10" s="9"/>
    </row>
    <row r="11" spans="1:6" s="7" customFormat="1" x14ac:dyDescent="0.25">
      <c r="A11" s="10">
        <v>1000</v>
      </c>
      <c r="B11" s="11" t="str">
        <f ca="1">BAccountDescription(FName,A11)</f>
        <v xml:space="preserve">Cash </v>
      </c>
      <c r="C11" s="11"/>
      <c r="D11" s="12">
        <f ca="1">BBalance(FName,$A11,D$5)</f>
        <v>31940</v>
      </c>
      <c r="E11" s="12">
        <f ca="1">BBalance(FName,$A11,E$5)</f>
        <v>29140</v>
      </c>
      <c r="F11" s="12">
        <f ca="1">BBalance(FName,$A11,F$5)</f>
        <v>31940</v>
      </c>
    </row>
    <row r="12" spans="1:6" s="7" customFormat="1" x14ac:dyDescent="0.25">
      <c r="A12" s="10"/>
      <c r="B12" s="11"/>
      <c r="C12" s="11"/>
      <c r="D12" s="12"/>
      <c r="E12" s="12"/>
      <c r="F12" s="12"/>
    </row>
    <row r="13" spans="1:6" s="7" customFormat="1" x14ac:dyDescent="0.25">
      <c r="A13" s="10" t="s">
        <v>14</v>
      </c>
      <c r="B13" s="11" t="s">
        <v>13</v>
      </c>
      <c r="C13" s="11"/>
      <c r="D13" s="12">
        <f ca="1">BBalance(FName,$A13,D$5)</f>
        <v>18988.18</v>
      </c>
      <c r="E13" s="12">
        <f ca="1">BBalance(FName,$A13,E$5)</f>
        <v>17438.18</v>
      </c>
      <c r="F13" s="12">
        <f ca="1">BBalance(FName,$A13,F$5)</f>
        <v>17738.18</v>
      </c>
    </row>
    <row r="14" spans="1:6" s="7" customFormat="1" x14ac:dyDescent="0.25">
      <c r="A14" s="10"/>
      <c r="B14" s="11"/>
      <c r="C14" s="11"/>
      <c r="D14" s="12"/>
      <c r="E14" s="12"/>
      <c r="F14" s="12"/>
    </row>
    <row r="15" spans="1:6" s="7" customFormat="1" x14ac:dyDescent="0.25">
      <c r="A15" s="13"/>
      <c r="B15" s="14" t="s">
        <v>11</v>
      </c>
      <c r="C15" s="14"/>
      <c r="D15" s="12"/>
      <c r="E15" s="12"/>
      <c r="F15" s="12"/>
    </row>
    <row r="16" spans="1:6" s="7" customFormat="1" x14ac:dyDescent="0.25">
      <c r="A16" s="10">
        <v>4100</v>
      </c>
      <c r="B16" s="11" t="str">
        <f ca="1">BAccountDescription(FName,A16)</f>
        <v>Income from sales</v>
      </c>
      <c r="C16" s="11" t="s">
        <v>33</v>
      </c>
      <c r="D16" s="12">
        <f t="shared" ref="D16:F17" ca="1" si="0">BTotal(FName,$A16,D$5)</f>
        <v>-8454.5400000000009</v>
      </c>
      <c r="E16" s="12">
        <f t="shared" ca="1" si="0"/>
        <v>-5909.09</v>
      </c>
      <c r="F16" s="12">
        <f t="shared" ca="1" si="0"/>
        <v>-8454.5400000000009</v>
      </c>
    </row>
    <row r="17" spans="1:6" s="7" customFormat="1" x14ac:dyDescent="0.25">
      <c r="A17" s="10">
        <v>3000</v>
      </c>
      <c r="B17" s="11" t="str">
        <f ca="1">BAccountDescription(FName,A17)</f>
        <v>Purchase goods for resale</v>
      </c>
      <c r="C17" s="11"/>
      <c r="D17" s="12">
        <f t="shared" ca="1" si="0"/>
        <v>2090.91</v>
      </c>
      <c r="E17" s="12">
        <f t="shared" ca="1" si="0"/>
        <v>0</v>
      </c>
      <c r="F17" s="12">
        <f t="shared" ca="1" si="0"/>
        <v>4818.18</v>
      </c>
    </row>
    <row r="18" spans="1:6" s="7" customFormat="1" x14ac:dyDescent="0.25">
      <c r="A18" s="15"/>
      <c r="B18" s="11" t="str">
        <f ca="1">BCellValue(FName, "Accounts", "Account="&amp;A18,"Description")</f>
        <v/>
      </c>
      <c r="C18" s="11"/>
      <c r="D18" s="12"/>
      <c r="E18" s="12"/>
      <c r="F18" s="12"/>
    </row>
    <row r="19" spans="1:6" x14ac:dyDescent="0.25">
      <c r="A19" s="11"/>
      <c r="B19" s="14" t="s">
        <v>3</v>
      </c>
      <c r="C19" s="14"/>
      <c r="D19" s="16"/>
      <c r="E19" s="16"/>
      <c r="F19" s="16"/>
    </row>
    <row r="20" spans="1:6" x14ac:dyDescent="0.25">
      <c r="A20" s="11" t="s">
        <v>71</v>
      </c>
      <c r="B20" s="11" t="str">
        <f ca="1">BAccountDescription(FName,A20)</f>
        <v>Total EXPENSES</v>
      </c>
      <c r="C20" s="11"/>
      <c r="D20" s="16">
        <f ca="1">BTotal(FName,$A20,D$5)</f>
        <v>4400</v>
      </c>
      <c r="E20" s="16">
        <f ca="1">BTotal(FName,$A20,E$5)</f>
        <v>1077.27</v>
      </c>
      <c r="F20" s="16">
        <f ca="1">BTotal(FName,"Gr="&amp;$A20,F$5)</f>
        <v>0</v>
      </c>
    </row>
    <row r="21" spans="1:6" x14ac:dyDescent="0.25">
      <c r="A21" s="11" t="s">
        <v>72</v>
      </c>
      <c r="B21" s="11" t="str">
        <f ca="1">BAccountDescription(FName,A21)</f>
        <v>Total INCOME</v>
      </c>
      <c r="C21" s="11"/>
      <c r="D21" s="16">
        <f ca="1">BTotal(FName,$A21,D$5)</f>
        <v>-8454.5400000000009</v>
      </c>
      <c r="E21" s="16">
        <f ca="1">BTotal(FName,"Gr="&amp;$A21,E$5)</f>
        <v>0</v>
      </c>
      <c r="F21" s="16">
        <f ca="1">BTotal(FName,"Gr="&amp;$A21,F$5)</f>
        <v>0</v>
      </c>
    </row>
    <row r="22" spans="1:6" x14ac:dyDescent="0.25">
      <c r="A22" s="11"/>
      <c r="B22" s="11"/>
      <c r="C22" s="11"/>
      <c r="D22" s="16"/>
      <c r="E22" s="16"/>
      <c r="F22" s="16"/>
    </row>
    <row r="23" spans="1:6" x14ac:dyDescent="0.25">
      <c r="A23" s="11"/>
      <c r="B23" s="14" t="s">
        <v>34</v>
      </c>
      <c r="C23" s="14"/>
      <c r="D23" s="16"/>
      <c r="E23" s="16"/>
      <c r="F23" s="16"/>
    </row>
    <row r="24" spans="1:6" x14ac:dyDescent="0.25">
      <c r="A24" s="10">
        <v>1000</v>
      </c>
      <c r="B24" s="11" t="str">
        <f ca="1">BAccountDescription(FName, A24)</f>
        <v xml:space="preserve">Cash </v>
      </c>
      <c r="C24" s="11" t="s">
        <v>29</v>
      </c>
      <c r="D24" s="12">
        <f ca="1">BAmount(FName,$A24,"balance","debit",D$5)</f>
        <v>14400</v>
      </c>
      <c r="E24" s="12">
        <f ca="1">BAmount(FName,$A24,"balance","debit",E$5)</f>
        <v>11600</v>
      </c>
      <c r="F24" s="12">
        <f ca="1">BAmount(FName,$A24,"balance","debit",F$5)</f>
        <v>14400</v>
      </c>
    </row>
    <row r="25" spans="1:6" x14ac:dyDescent="0.25">
      <c r="A25" s="10">
        <v>1000</v>
      </c>
      <c r="B25" s="11" t="str">
        <f ca="1">BAccountDescription(FName, A25)</f>
        <v xml:space="preserve">Cash </v>
      </c>
      <c r="C25" s="11" t="s">
        <v>30</v>
      </c>
      <c r="D25" s="12">
        <f ca="1">BAmount(FName,$A25,"balance","credit",D$5)</f>
        <v>30</v>
      </c>
      <c r="E25" s="12">
        <f ca="1">BAmount(FName,$A25,"balance","credit",E$5)</f>
        <v>30</v>
      </c>
      <c r="F25" s="12">
        <f ca="1">BAmount(FName,$A25,"balance","credit",F$5)</f>
        <v>30</v>
      </c>
    </row>
    <row r="26" spans="1:6" x14ac:dyDescent="0.25">
      <c r="A26" s="10"/>
      <c r="B26" s="11"/>
      <c r="C26" s="11"/>
      <c r="D26" s="12"/>
      <c r="E26" s="12"/>
      <c r="F26" s="12"/>
    </row>
    <row r="27" spans="1:6" x14ac:dyDescent="0.25">
      <c r="A27" s="8"/>
      <c r="B27" s="19" t="s">
        <v>15</v>
      </c>
      <c r="C27" s="19"/>
      <c r="D27" s="9"/>
      <c r="E27" s="9"/>
      <c r="F27" s="9"/>
    </row>
    <row r="28" spans="1:6" x14ac:dyDescent="0.25">
      <c r="A28" s="10">
        <v>1000</v>
      </c>
      <c r="B28" s="11" t="str">
        <f ca="1">BAccountDescription(FName, A28)</f>
        <v xml:space="preserve">Cash </v>
      </c>
      <c r="C28" s="11"/>
      <c r="D28" s="12">
        <f ca="1">BBudgetBalance(FName,$A28,D$5)</f>
        <v>33570</v>
      </c>
      <c r="E28" s="12">
        <f ca="1">BBudgetBalance(FName,$A28,E$5)</f>
        <v>25570</v>
      </c>
      <c r="F28" s="12">
        <f ca="1">BBudgetBalance(FName,$A28,F$5)</f>
        <v>41570</v>
      </c>
    </row>
    <row r="29" spans="1:6" x14ac:dyDescent="0.25">
      <c r="A29" s="10"/>
      <c r="B29" s="11"/>
      <c r="C29" s="11"/>
      <c r="D29" s="12"/>
      <c r="E29" s="12"/>
      <c r="F29" s="12"/>
    </row>
    <row r="30" spans="1:6" x14ac:dyDescent="0.25">
      <c r="A30" s="8"/>
      <c r="B30" s="19" t="s">
        <v>16</v>
      </c>
      <c r="C30" s="19"/>
      <c r="D30" s="9"/>
      <c r="E30" s="9"/>
      <c r="F30" s="9"/>
    </row>
    <row r="31" spans="1:6" x14ac:dyDescent="0.25">
      <c r="A31" s="10">
        <v>4100</v>
      </c>
      <c r="B31" s="11" t="str">
        <f ca="1">BAccountDescription(FName, A31)</f>
        <v>Income from sales</v>
      </c>
      <c r="C31" s="11"/>
      <c r="D31" s="12">
        <f ca="1">BBudgetTotal(FName,$A31,D$5)</f>
        <v>-14545.46</v>
      </c>
      <c r="E31" s="12">
        <f ca="1">BBudgetTotal(FName,$A31,E$5)</f>
        <v>-7272.73</v>
      </c>
      <c r="F31" s="12">
        <f ca="1">BBudgetTotal(FName,$A31,F$5)</f>
        <v>-21818.19</v>
      </c>
    </row>
    <row r="32" spans="1:6" x14ac:dyDescent="0.25">
      <c r="A32" s="10"/>
      <c r="B32" s="11"/>
      <c r="C32" s="11"/>
      <c r="D32" s="12"/>
      <c r="E32" s="12"/>
      <c r="F32" s="12"/>
    </row>
    <row r="33" spans="1:6" x14ac:dyDescent="0.25">
      <c r="A33" s="10"/>
      <c r="B33" s="14" t="s">
        <v>19</v>
      </c>
      <c r="C33" s="14"/>
      <c r="D33" s="12"/>
      <c r="E33" s="12"/>
      <c r="F33" s="12"/>
    </row>
    <row r="34" spans="1:6" x14ac:dyDescent="0.25">
      <c r="A34" s="10" t="s">
        <v>18</v>
      </c>
      <c r="B34" s="11" t="str">
        <f ca="1">BVatDescription(FName, A34)</f>
        <v>Sales at 10%</v>
      </c>
      <c r="C34" s="11"/>
      <c r="D34" s="12">
        <f ca="1">BVatBalance(FName,$A34,"taxable",D$5)</f>
        <v>-8454.5400000000009</v>
      </c>
      <c r="E34" s="12">
        <f ca="1">BVatBalance(FName,$A34,"taxable",E$5)</f>
        <v>-5909.09</v>
      </c>
      <c r="F34" s="12">
        <f ca="1">BVatBalance(FName,$A34,"taxable",F$5)</f>
        <v>-8454.5400000000009</v>
      </c>
    </row>
    <row r="35" spans="1:6" x14ac:dyDescent="0.25">
      <c r="A35" s="10"/>
      <c r="B35" s="11"/>
      <c r="C35" s="11"/>
      <c r="D35" s="12"/>
      <c r="E35" s="12"/>
      <c r="F35" s="12"/>
    </row>
    <row r="36" spans="1:6" x14ac:dyDescent="0.25">
      <c r="A36" s="10"/>
      <c r="B36" s="14" t="s">
        <v>74</v>
      </c>
      <c r="C36" s="11"/>
      <c r="D36" s="12"/>
      <c r="E36" s="12"/>
      <c r="F36" s="12"/>
    </row>
    <row r="37" spans="1:6" x14ac:dyDescent="0.25">
      <c r="A37" s="10">
        <v>1000</v>
      </c>
      <c r="B37" s="11" t="str">
        <f ca="1">BAccountDescription(FName,A37)</f>
        <v xml:space="preserve">Cash </v>
      </c>
      <c r="C37" s="11">
        <v>5</v>
      </c>
      <c r="D37" s="12">
        <f t="shared" ref="D37:F38" ca="1" si="1">BInterest(FName,$A37,$C37,D$5)</f>
        <v>237.69</v>
      </c>
      <c r="E37" s="12">
        <f t="shared" ca="1" si="1"/>
        <v>116.33</v>
      </c>
      <c r="F37" s="12">
        <f t="shared" ca="1" si="1"/>
        <v>373.32</v>
      </c>
    </row>
    <row r="38" spans="1:6" x14ac:dyDescent="0.25">
      <c r="A38" s="10">
        <v>2000</v>
      </c>
      <c r="B38" s="11" t="str">
        <f ca="1">BAccountDescription(FName,A38)</f>
        <v>Supplier</v>
      </c>
      <c r="C38" s="11">
        <v>-5</v>
      </c>
      <c r="D38" s="12">
        <f t="shared" ca="1" si="1"/>
        <v>7.1</v>
      </c>
      <c r="E38" s="12">
        <f t="shared" ca="1" si="1"/>
        <v>4.79</v>
      </c>
      <c r="F38" s="12">
        <f t="shared" ca="1" si="1"/>
        <v>20.36</v>
      </c>
    </row>
    <row r="39" spans="1:6" x14ac:dyDescent="0.25">
      <c r="A39" s="10"/>
      <c r="B39" s="11"/>
      <c r="C39" s="11"/>
      <c r="D39" s="12"/>
      <c r="E39" s="12"/>
      <c r="F39" s="12"/>
    </row>
    <row r="40" spans="1:6" x14ac:dyDescent="0.25">
      <c r="A40" s="10"/>
      <c r="B40" s="11" t="s">
        <v>75</v>
      </c>
      <c r="C40" s="11"/>
      <c r="D40" s="12"/>
      <c r="E40" s="12"/>
      <c r="F40" s="12"/>
    </row>
    <row r="41" spans="1:6" x14ac:dyDescent="0.25">
      <c r="A41" s="10">
        <v>1000</v>
      </c>
      <c r="B41" s="11" t="str">
        <f ca="1">BAccountDescription(FName,A41)</f>
        <v xml:space="preserve">Cash </v>
      </c>
      <c r="C41" s="11">
        <v>5</v>
      </c>
      <c r="D41" s="12">
        <f t="shared" ref="D41:F42" ca="1" si="2">BBudgetInterest(FName,$A41,$C41,D$5)</f>
        <v>224.2</v>
      </c>
      <c r="E41" s="12">
        <f t="shared" ca="1" si="2"/>
        <v>102.01</v>
      </c>
      <c r="F41" s="12">
        <f t="shared" ca="1" si="2"/>
        <v>394.15</v>
      </c>
    </row>
    <row r="42" spans="1:6" x14ac:dyDescent="0.25">
      <c r="A42" s="10">
        <v>2000</v>
      </c>
      <c r="B42" s="11" t="str">
        <f ca="1">BAccountDescription(FName,A42)</f>
        <v>Supplier</v>
      </c>
      <c r="C42" s="11">
        <v>-5</v>
      </c>
      <c r="D42" s="12">
        <f t="shared" ca="1" si="2"/>
        <v>40.409999999999997</v>
      </c>
      <c r="E42" s="12">
        <f t="shared" ca="1" si="2"/>
        <v>21.23</v>
      </c>
      <c r="F42" s="12">
        <f t="shared" ca="1" si="2"/>
        <v>61.64</v>
      </c>
    </row>
    <row r="43" spans="1:6" x14ac:dyDescent="0.25">
      <c r="A43" s="10"/>
      <c r="B43" s="11"/>
      <c r="C43" s="11"/>
      <c r="D43" s="12"/>
      <c r="E43" s="12"/>
      <c r="F43" s="12"/>
    </row>
    <row r="44" spans="1:6" x14ac:dyDescent="0.25">
      <c r="A44" s="11"/>
      <c r="B44" s="14" t="s">
        <v>20</v>
      </c>
      <c r="C44" s="14"/>
      <c r="D44" s="9"/>
      <c r="E44" s="9"/>
      <c r="F44" s="9"/>
    </row>
    <row r="45" spans="1:6" x14ac:dyDescent="0.25">
      <c r="A45" s="11" t="s">
        <v>8</v>
      </c>
      <c r="B45" s="8" t="str">
        <f ca="1">BInfo( FName,"Base",A45)</f>
        <v>Sibex Ltd</v>
      </c>
      <c r="C45" s="8"/>
      <c r="D45" s="9"/>
      <c r="E45" s="9"/>
      <c r="F45" s="9"/>
    </row>
    <row r="46" spans="1:6" x14ac:dyDescent="0.25">
      <c r="A46" s="14" t="s">
        <v>9</v>
      </c>
      <c r="B46" s="8" t="str">
        <f ca="1">BInfo( FName,"Base",A46)</f>
        <v>Example of Double-Entry Accounting with VAT</v>
      </c>
      <c r="C46" s="8"/>
      <c r="D46" s="9"/>
      <c r="E46" s="9"/>
      <c r="F46" s="9"/>
    </row>
    <row r="47" spans="1:6" x14ac:dyDescent="0.25">
      <c r="A47" s="8" t="s">
        <v>10</v>
      </c>
      <c r="B47" s="17">
        <f ca="1">DATEVALUE(BInfo( FName,"Base",A47))</f>
        <v>42005</v>
      </c>
      <c r="C47" s="17"/>
      <c r="D47" s="9"/>
      <c r="E47" s="9"/>
      <c r="F47" s="9"/>
    </row>
    <row r="48" spans="1:6" x14ac:dyDescent="0.25">
      <c r="A48" s="18"/>
      <c r="B48" s="9" t="str">
        <f ca="1">BInfo( FName,"Base",A48)</f>
        <v/>
      </c>
      <c r="C48" s="9"/>
      <c r="D48" s="9"/>
      <c r="E48" s="9"/>
      <c r="F48" s="9"/>
    </row>
    <row r="49" spans="1:3" x14ac:dyDescent="0.25">
      <c r="A49" s="1"/>
      <c r="B49" t="str">
        <f ca="1">BInfo( FName,"Base",A49)</f>
        <v/>
      </c>
    </row>
    <row r="50" spans="1:3" x14ac:dyDescent="0.25">
      <c r="A50" s="1"/>
      <c r="B50" s="14" t="s">
        <v>61</v>
      </c>
      <c r="C50" s="1"/>
    </row>
    <row r="51" spans="1:3" x14ac:dyDescent="0.25">
      <c r="A51" s="20" t="s">
        <v>63</v>
      </c>
      <c r="B51" t="e">
        <f ca="1">BFunctionVersion()</f>
        <v>#NAME?</v>
      </c>
      <c r="C51" s="1"/>
    </row>
    <row r="52" spans="1:3" x14ac:dyDescent="0.25">
      <c r="A52" s="20" t="s">
        <v>70</v>
      </c>
      <c r="C52" s="1"/>
    </row>
    <row r="53" spans="1:3" x14ac:dyDescent="0.25">
      <c r="A53" s="25" t="s">
        <v>69</v>
      </c>
      <c r="C53" s="1"/>
    </row>
    <row r="54" spans="1:3" x14ac:dyDescent="0.25">
      <c r="A54" s="23">
        <v>10</v>
      </c>
      <c r="B54" t="str">
        <f>BlastQuery(A54)</f>
        <v>http://localhost:8081/v1/doc/company-2015.ac2/accountdescription/1000</v>
      </c>
      <c r="C54" s="1"/>
    </row>
    <row r="55" spans="1:3" x14ac:dyDescent="0.25">
      <c r="A55" s="23">
        <f>A54-1</f>
        <v>9</v>
      </c>
      <c r="B55" t="str">
        <f>BlastQuery(A55)</f>
        <v>http://localhost:8081/v1/doc/company-2015.ac2/accountdescription/Gr=4</v>
      </c>
      <c r="C55" s="1"/>
    </row>
    <row r="56" spans="1:3" x14ac:dyDescent="0.25">
      <c r="A56" s="23">
        <f t="shared" ref="A56:A64" si="3">A55-1</f>
        <v>8</v>
      </c>
      <c r="B56" t="str">
        <f>BlastQuery(A56)</f>
        <v>http://localhost:8081/v1/doc/company-2015.ac2/interest/1000?rate=5&amp;period=Q1</v>
      </c>
      <c r="C56" s="1"/>
    </row>
    <row r="57" spans="1:3" x14ac:dyDescent="0.25">
      <c r="A57" s="23">
        <f t="shared" si="3"/>
        <v>7</v>
      </c>
      <c r="B57" t="str">
        <f t="shared" ref="B57:B64" si="4">BlastQuery(A57)</f>
        <v>http://localhost:8081/v1/doc/company-2015.ac2/accountdescription/Gr=3</v>
      </c>
      <c r="C57" s="1"/>
    </row>
    <row r="58" spans="1:3" x14ac:dyDescent="0.25">
      <c r="A58" s="23">
        <f t="shared" si="3"/>
        <v>6</v>
      </c>
      <c r="B58" t="str">
        <f t="shared" si="4"/>
        <v>http://localhost:8081/v1/doc/company-2015.ac2/balance/Gr=3/balance?period=</v>
      </c>
      <c r="C58" s="1"/>
    </row>
    <row r="59" spans="1:3" x14ac:dyDescent="0.25">
      <c r="A59" s="23">
        <f t="shared" si="3"/>
        <v>5</v>
      </c>
      <c r="B59" t="str">
        <f>BlastQuery(A59)</f>
        <v>http://localhost:8081/v1/doc/company-2015.ac2/accountdescription/Gr=3</v>
      </c>
      <c r="C59" s="1"/>
    </row>
    <row r="60" spans="1:3" x14ac:dyDescent="0.25">
      <c r="A60" s="23">
        <f t="shared" si="3"/>
        <v>4</v>
      </c>
      <c r="B60" t="str">
        <f t="shared" si="4"/>
        <v>http://localhost:8081/v1/doc/company-2015.ac2/balance/3000/total?period=Q1</v>
      </c>
      <c r="C60" s="1"/>
    </row>
    <row r="61" spans="1:3" x14ac:dyDescent="0.25">
      <c r="A61" s="23">
        <f t="shared" si="3"/>
        <v>3</v>
      </c>
      <c r="B61" t="str">
        <f t="shared" si="4"/>
        <v>http://localhost:8081/v1/doc/company-2015.ac2/balance/Gr=3/balance?period=Q1</v>
      </c>
      <c r="C61" s="1"/>
    </row>
    <row r="62" spans="1:3" x14ac:dyDescent="0.25">
      <c r="A62" s="23">
        <f t="shared" si="3"/>
        <v>2</v>
      </c>
      <c r="B62" t="str">
        <f t="shared" si="4"/>
        <v>http://localhost:8081/v1/doc/company-2015.ac2/accountdescription/2000</v>
      </c>
      <c r="C62" s="1"/>
    </row>
    <row r="63" spans="1:3" x14ac:dyDescent="0.25">
      <c r="A63" s="23">
        <f t="shared" si="3"/>
        <v>1</v>
      </c>
      <c r="B63" t="str">
        <f t="shared" si="4"/>
        <v>http://localhost:8081/v1/doc/company-2015.ac2/info/Base/</v>
      </c>
      <c r="C63" s="1"/>
    </row>
    <row r="64" spans="1:3" x14ac:dyDescent="0.25">
      <c r="A64" s="23">
        <f t="shared" si="3"/>
        <v>0</v>
      </c>
      <c r="B64" t="str">
        <f t="shared" si="4"/>
        <v>http://localhost:8081/v1/doc/company-2015.ac2/budget/Gr=4/total?period=M1</v>
      </c>
      <c r="C64" s="1"/>
    </row>
    <row r="65" spans="1:3" x14ac:dyDescent="0.25">
      <c r="A65" s="1"/>
      <c r="B65" s="1"/>
      <c r="C65" s="1"/>
    </row>
    <row r="66" spans="1:3" x14ac:dyDescent="0.25">
      <c r="A66" s="1"/>
      <c r="B66" s="1"/>
      <c r="C66" s="1"/>
    </row>
    <row r="67" spans="1:3" x14ac:dyDescent="0.25">
      <c r="A67" s="1"/>
      <c r="B67" s="1"/>
      <c r="C67" s="1"/>
    </row>
    <row r="68" spans="1:3" x14ac:dyDescent="0.25">
      <c r="A68" s="3"/>
      <c r="B68" s="1"/>
      <c r="C68" s="1"/>
    </row>
    <row r="69" spans="1:3" x14ac:dyDescent="0.25">
      <c r="A69" s="1"/>
      <c r="B69" s="1"/>
      <c r="C69" s="1"/>
    </row>
    <row r="70" spans="1:3" x14ac:dyDescent="0.25">
      <c r="A70" s="1"/>
      <c r="B70" s="1"/>
      <c r="C70" s="1"/>
    </row>
    <row r="71" spans="1:3" x14ac:dyDescent="0.25">
      <c r="A71" s="3"/>
      <c r="B71" s="1"/>
      <c r="C71" s="1"/>
    </row>
    <row r="72" spans="1:3" x14ac:dyDescent="0.25">
      <c r="A72" s="4"/>
      <c r="B72" s="1"/>
      <c r="C72" s="1"/>
    </row>
    <row r="73" spans="1:3" x14ac:dyDescent="0.25">
      <c r="A73" s="1"/>
      <c r="B73" s="1"/>
      <c r="C73" s="1"/>
    </row>
    <row r="74" spans="1:3" x14ac:dyDescent="0.25">
      <c r="A74" s="1"/>
      <c r="B74" s="1"/>
      <c r="C74" s="1"/>
    </row>
    <row r="75" spans="1:3" x14ac:dyDescent="0.25">
      <c r="A75" s="2"/>
      <c r="B75" s="1"/>
      <c r="C75" s="1"/>
    </row>
    <row r="76" spans="1:3" x14ac:dyDescent="0.25">
      <c r="A76" s="1"/>
      <c r="B76" s="1"/>
      <c r="C76" s="1"/>
    </row>
    <row r="77" spans="1:3" x14ac:dyDescent="0.25">
      <c r="A77" s="1"/>
      <c r="B77" s="1"/>
      <c r="C77" s="1"/>
    </row>
    <row r="78" spans="1:3" x14ac:dyDescent="0.25">
      <c r="A78" s="1"/>
      <c r="B78" s="1"/>
      <c r="C78" s="1"/>
    </row>
    <row r="79" spans="1:3" x14ac:dyDescent="0.25">
      <c r="A79" s="1"/>
      <c r="B79" s="1"/>
      <c r="C79" s="1"/>
    </row>
    <row r="80" spans="1:3" x14ac:dyDescent="0.25">
      <c r="A80" s="4"/>
      <c r="B80" s="1"/>
      <c r="C80" s="1"/>
    </row>
    <row r="81" spans="1:3" x14ac:dyDescent="0.25">
      <c r="A81" s="2"/>
      <c r="B81" s="1"/>
      <c r="C81" s="1"/>
    </row>
    <row r="82" spans="1:3" x14ac:dyDescent="0.25">
      <c r="A82" s="1"/>
      <c r="B82" s="1"/>
      <c r="C82" s="1"/>
    </row>
    <row r="83" spans="1:3" x14ac:dyDescent="0.25">
      <c r="A83" s="1"/>
      <c r="B83" s="1"/>
      <c r="C83" s="1"/>
    </row>
    <row r="84" spans="1:3" x14ac:dyDescent="0.25">
      <c r="A84" s="1"/>
      <c r="B84" s="1"/>
      <c r="C84" s="1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3:G13"/>
  <sheetViews>
    <sheetView workbookViewId="0">
      <selection activeCell="J12" sqref="J12"/>
    </sheetView>
  </sheetViews>
  <sheetFormatPr baseColWidth="10" defaultColWidth="9.140625" defaultRowHeight="15" x14ac:dyDescent="0.25"/>
  <cols>
    <col min="1" max="1" width="15.7109375" customWidth="1"/>
    <col min="2" max="2" width="39" customWidth="1"/>
    <col min="3" max="3" width="15.7109375" customWidth="1"/>
    <col min="4" max="4" width="15.42578125" customWidth="1"/>
    <col min="5" max="5" width="14.140625" customWidth="1"/>
    <col min="6" max="6" width="16" customWidth="1"/>
    <col min="7" max="7" width="13" customWidth="1"/>
  </cols>
  <sheetData>
    <row r="3" spans="1:7" x14ac:dyDescent="0.25">
      <c r="B3" s="20" t="s">
        <v>35</v>
      </c>
      <c r="C3" s="23" t="s">
        <v>25</v>
      </c>
      <c r="D3" s="23" t="s">
        <v>4</v>
      </c>
      <c r="E3" s="23" t="s">
        <v>27</v>
      </c>
      <c r="F3" s="23" t="s">
        <v>5</v>
      </c>
      <c r="G3" s="23" t="s">
        <v>26</v>
      </c>
    </row>
    <row r="4" spans="1:7" x14ac:dyDescent="0.25">
      <c r="A4" s="10" t="s">
        <v>14</v>
      </c>
      <c r="B4" s="10" t="s">
        <v>24</v>
      </c>
      <c r="C4" s="12">
        <f t="shared" ref="C4:F7" ca="1" si="0">BBalance(FName,$A4,C$3)</f>
        <v>17438.18</v>
      </c>
      <c r="D4" s="12">
        <f t="shared" ca="1" si="0"/>
        <v>18988.18</v>
      </c>
      <c r="E4" s="12">
        <f t="shared" ca="1" si="0"/>
        <v>17738.18</v>
      </c>
      <c r="F4" s="12">
        <f t="shared" ca="1" si="0"/>
        <v>17738.18</v>
      </c>
      <c r="G4" s="12">
        <f ca="1">BBalance(FName,$A4)</f>
        <v>17738.18</v>
      </c>
    </row>
    <row r="5" spans="1:7" x14ac:dyDescent="0.25">
      <c r="A5" s="11" t="s">
        <v>72</v>
      </c>
      <c r="B5" s="11" t="str">
        <f ca="1">BAccountDescription(FName, A5)</f>
        <v>Total INCOME</v>
      </c>
      <c r="C5" s="12">
        <f t="shared" ca="1" si="0"/>
        <v>-5909.09</v>
      </c>
      <c r="D5" s="12">
        <f t="shared" ca="1" si="0"/>
        <v>-8454.5400000000009</v>
      </c>
      <c r="E5" s="12">
        <f t="shared" ca="1" si="0"/>
        <v>-8454.5400000000009</v>
      </c>
      <c r="F5" s="12">
        <f t="shared" ca="1" si="0"/>
        <v>-8454.5400000000009</v>
      </c>
      <c r="G5" s="12">
        <f ca="1">BBalance(FName,$A5)</f>
        <v>-8454.5400000000009</v>
      </c>
    </row>
    <row r="6" spans="1:7" x14ac:dyDescent="0.25">
      <c r="A6" s="11" t="s">
        <v>71</v>
      </c>
      <c r="B6" s="11" t="str">
        <f ca="1">BAccountDescription(FName, A6)</f>
        <v>Total EXPENSES</v>
      </c>
      <c r="C6" s="12">
        <f t="shared" ca="1" si="0"/>
        <v>1077.27</v>
      </c>
      <c r="D6" s="12">
        <f t="shared" ca="1" si="0"/>
        <v>4400</v>
      </c>
      <c r="E6" s="12">
        <f t="shared" ca="1" si="0"/>
        <v>8359.09</v>
      </c>
      <c r="F6" s="12">
        <f t="shared" ca="1" si="0"/>
        <v>8359.09</v>
      </c>
      <c r="G6" s="12">
        <f ca="1">BBalance(FName,$A6)</f>
        <v>8359.09</v>
      </c>
    </row>
    <row r="7" spans="1:7" x14ac:dyDescent="0.25">
      <c r="B7" t="s">
        <v>28</v>
      </c>
      <c r="C7" s="12">
        <f t="shared" ca="1" si="0"/>
        <v>0</v>
      </c>
      <c r="D7" s="12">
        <f t="shared" ca="1" si="0"/>
        <v>0</v>
      </c>
      <c r="E7" s="12">
        <f t="shared" ca="1" si="0"/>
        <v>0</v>
      </c>
      <c r="F7" s="12">
        <f t="shared" ca="1" si="0"/>
        <v>0</v>
      </c>
      <c r="G7" s="12">
        <f ca="1">BBalance(FName,$A7)</f>
        <v>0</v>
      </c>
    </row>
    <row r="8" spans="1:7" x14ac:dyDescent="0.25">
      <c r="C8" s="24"/>
      <c r="D8" s="24"/>
      <c r="E8" s="24"/>
      <c r="F8" s="24"/>
      <c r="G8" s="24"/>
    </row>
    <row r="9" spans="1:7" x14ac:dyDescent="0.25">
      <c r="B9" s="20" t="s">
        <v>36</v>
      </c>
    </row>
    <row r="10" spans="1:7" x14ac:dyDescent="0.25">
      <c r="A10" s="10" t="s">
        <v>14</v>
      </c>
      <c r="B10" s="10" t="s">
        <v>24</v>
      </c>
      <c r="C10" s="12">
        <f ca="1">BBudgetBalance(FName,$A10,C$3)</f>
        <v>26070</v>
      </c>
      <c r="D10" s="12">
        <f ca="1">BBudgetBalance(FName,$A10,D$3)</f>
        <v>33070</v>
      </c>
      <c r="E10" s="12">
        <f ca="1">BBudgetBalance(FName,$A10,E$3)</f>
        <v>40070</v>
      </c>
      <c r="F10" s="12">
        <f ca="1">BBudgetBalance(FName,$A10,F$3)</f>
        <v>40070</v>
      </c>
      <c r="G10" s="12">
        <f ca="1">BBudgetBalance(FName,$A10,G$3)</f>
        <v>103070</v>
      </c>
    </row>
    <row r="11" spans="1:7" x14ac:dyDescent="0.25">
      <c r="A11" s="11" t="s">
        <v>72</v>
      </c>
      <c r="B11" s="11" t="str">
        <f ca="1">BAccountDescription(FName, A11)</f>
        <v>Total INCOME</v>
      </c>
      <c r="C11" s="16">
        <f t="shared" ref="C11:G12" ca="1" si="1">BBudgetTotal(FName,$A11,C$3)*-1</f>
        <v>7272.73</v>
      </c>
      <c r="D11" s="16">
        <f t="shared" ca="1" si="1"/>
        <v>7272.73</v>
      </c>
      <c r="E11" s="16">
        <f t="shared" ca="1" si="1"/>
        <v>7272.73</v>
      </c>
      <c r="F11" s="16">
        <f t="shared" ca="1" si="1"/>
        <v>21818.19</v>
      </c>
      <c r="G11" s="16">
        <f t="shared" ca="1" si="1"/>
        <v>87272.76</v>
      </c>
    </row>
    <row r="12" spans="1:7" x14ac:dyDescent="0.25">
      <c r="A12" s="11" t="s">
        <v>71</v>
      </c>
      <c r="B12" s="11" t="str">
        <f ca="1">BAccountDescription(FName, A12)</f>
        <v>Total EXPENSES</v>
      </c>
      <c r="C12" s="16">
        <f t="shared" ca="1" si="1"/>
        <v>-1000</v>
      </c>
      <c r="D12" s="16">
        <f t="shared" ca="1" si="1"/>
        <v>-1000</v>
      </c>
      <c r="E12" s="16">
        <f t="shared" ca="1" si="1"/>
        <v>-1000</v>
      </c>
      <c r="F12" s="16">
        <f t="shared" ca="1" si="1"/>
        <v>-3000</v>
      </c>
      <c r="G12" s="16">
        <f t="shared" ca="1" si="1"/>
        <v>-12000</v>
      </c>
    </row>
    <row r="13" spans="1:7" x14ac:dyDescent="0.25">
      <c r="B13" t="s">
        <v>28</v>
      </c>
      <c r="C13" s="24">
        <f ca="1">C11-C12</f>
        <v>8272.73</v>
      </c>
      <c r="D13" s="24">
        <f ca="1">D11-D12</f>
        <v>8272.73</v>
      </c>
      <c r="E13" s="24">
        <f ca="1">E11-E12</f>
        <v>8272.73</v>
      </c>
      <c r="F13" s="24">
        <f ca="1">F11-F12</f>
        <v>24818.19</v>
      </c>
      <c r="G13" s="24">
        <f ca="1">G11-G12</f>
        <v>99272.76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A2:J7"/>
  <sheetViews>
    <sheetView workbookViewId="0">
      <selection activeCell="K14" sqref="K14"/>
    </sheetView>
  </sheetViews>
  <sheetFormatPr baseColWidth="10" defaultColWidth="9.140625" defaultRowHeight="15" x14ac:dyDescent="0.25"/>
  <cols>
    <col min="1" max="1" width="15.7109375" customWidth="1"/>
    <col min="2" max="2" width="23.5703125" customWidth="1"/>
    <col min="3" max="8" width="11.7109375" customWidth="1"/>
    <col min="9" max="9" width="10.85546875" customWidth="1"/>
  </cols>
  <sheetData>
    <row r="2" spans="1:10" x14ac:dyDescent="0.25">
      <c r="C2" s="23" t="s">
        <v>43</v>
      </c>
      <c r="D2" s="23" t="s">
        <v>44</v>
      </c>
      <c r="E2" s="23"/>
      <c r="F2" s="23"/>
      <c r="G2" s="23" t="s">
        <v>43</v>
      </c>
      <c r="H2" s="23" t="s">
        <v>44</v>
      </c>
    </row>
    <row r="3" spans="1:10" x14ac:dyDescent="0.25">
      <c r="B3" s="20"/>
      <c r="C3" s="23" t="s">
        <v>25</v>
      </c>
      <c r="D3" s="23" t="s">
        <v>25</v>
      </c>
      <c r="E3" s="27" t="s">
        <v>45</v>
      </c>
      <c r="F3" s="27" t="s">
        <v>46</v>
      </c>
      <c r="G3" s="23" t="s">
        <v>68</v>
      </c>
      <c r="H3" s="23" t="s">
        <v>68</v>
      </c>
      <c r="I3" s="27" t="s">
        <v>45</v>
      </c>
      <c r="J3" s="27" t="s">
        <v>46</v>
      </c>
    </row>
    <row r="4" spans="1:10" x14ac:dyDescent="0.25">
      <c r="A4" s="10" t="s">
        <v>14</v>
      </c>
      <c r="B4" s="10" t="s">
        <v>24</v>
      </c>
      <c r="C4" s="12">
        <f ca="1">BBalance(FName,$A4,C$3)</f>
        <v>17438.18</v>
      </c>
      <c r="D4" s="12">
        <f ca="1">BBalance(FNameP,$A4,D$3)</f>
        <v>18970</v>
      </c>
      <c r="E4" s="12">
        <f ca="1">D4-C4</f>
        <v>1531.8199999999997</v>
      </c>
      <c r="F4" s="28">
        <f ca="1">(D4-C4)/D4</f>
        <v>8.0749604638903516E-2</v>
      </c>
      <c r="G4" s="12">
        <f ca="1">BBalance(FName,$A4)</f>
        <v>17738.18</v>
      </c>
      <c r="H4" s="12">
        <f ca="1">BBalance(FNameP,$A4)</f>
        <v>19070</v>
      </c>
      <c r="I4" s="12">
        <f ca="1">H4-G4</f>
        <v>1331.8199999999997</v>
      </c>
      <c r="J4" s="28">
        <f ca="1">(H4-G4)/H4</f>
        <v>6.9838489774514928E-2</v>
      </c>
    </row>
    <row r="5" spans="1:10" x14ac:dyDescent="0.25">
      <c r="A5" s="11" t="s">
        <v>72</v>
      </c>
      <c r="B5" s="11" t="str">
        <f ca="1">BAccountDescription(FName, A5)</f>
        <v>Total INCOME</v>
      </c>
      <c r="C5" s="16">
        <f ca="1">BTotal(FName,$A5,C$3)*-1</f>
        <v>5909.09</v>
      </c>
      <c r="D5" s="16">
        <f ca="1">BTotal(FNameP,$A5,D$3)*-1</f>
        <v>7272.72</v>
      </c>
      <c r="E5" s="12">
        <f ca="1">D5-C5</f>
        <v>1363.63</v>
      </c>
      <c r="F5" s="28">
        <f ca="1">(D5-C5)/D5</f>
        <v>0.18749931249931251</v>
      </c>
      <c r="G5" s="16">
        <f ca="1">BTotal(FName,$A5)*-1</f>
        <v>8454.5400000000009</v>
      </c>
      <c r="H5" s="16">
        <f ca="1">BTotal(FNameP,$A5)*-1</f>
        <v>9545.4500000000007</v>
      </c>
      <c r="I5" s="12">
        <f ca="1">H5-G5</f>
        <v>1090.9099999999999</v>
      </c>
      <c r="J5" s="28">
        <f ca="1">(H5-G5)/H5</f>
        <v>0.11428586394564948</v>
      </c>
    </row>
    <row r="6" spans="1:10" x14ac:dyDescent="0.25">
      <c r="A6" s="11" t="s">
        <v>71</v>
      </c>
      <c r="B6" s="11" t="str">
        <f ca="1">BAccountDescription(FName, A6)</f>
        <v>Total EXPENSES</v>
      </c>
      <c r="C6" s="16">
        <f ca="1">BTotal(FName,$A6,C$3)</f>
        <v>1077.27</v>
      </c>
      <c r="D6" s="16">
        <f ca="1">BTotal(FNameP,$A6,D$3)</f>
        <v>1027.27</v>
      </c>
      <c r="E6" s="12">
        <f ca="1">D6-C6</f>
        <v>-50</v>
      </c>
      <c r="F6" s="28">
        <f ca="1">(D6-C6)/D6</f>
        <v>-4.8672695591227236E-2</v>
      </c>
      <c r="G6" s="16">
        <f ca="1">BTotal(FName,$A6)</f>
        <v>8359.09</v>
      </c>
      <c r="H6" s="16">
        <f ca="1">BTotal(FNameP,$A6)</f>
        <v>7027.27</v>
      </c>
      <c r="I6" s="12">
        <f ca="1">H6-G6</f>
        <v>-1331.8199999999997</v>
      </c>
      <c r="J6" s="28">
        <f ca="1">(H6-G6)/H6</f>
        <v>-0.18952167769275971</v>
      </c>
    </row>
    <row r="7" spans="1:10" x14ac:dyDescent="0.25">
      <c r="B7" t="s">
        <v>28</v>
      </c>
      <c r="C7" s="24">
        <f ca="1">C5-C6</f>
        <v>4831.82</v>
      </c>
      <c r="D7" s="24">
        <f ca="1">D5-D6</f>
        <v>6245.4500000000007</v>
      </c>
      <c r="E7" s="12">
        <f ca="1">D7-C7</f>
        <v>1413.630000000001</v>
      </c>
      <c r="F7" s="28">
        <f ca="1">(D7-C7)/D7</f>
        <v>0.2263455795819358</v>
      </c>
      <c r="G7" s="24">
        <f ca="1">G5-G6</f>
        <v>95.450000000000728</v>
      </c>
      <c r="H7" s="24">
        <f ca="1">H5-H6</f>
        <v>2518.1800000000003</v>
      </c>
      <c r="I7" s="12">
        <f ca="1">H7-G7</f>
        <v>2422.7299999999996</v>
      </c>
      <c r="J7" s="28">
        <f ca="1">(H7-G7)/H7</f>
        <v>0.96209564050226726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3</vt:i4>
      </vt:variant>
    </vt:vector>
  </HeadingPairs>
  <TitlesOfParts>
    <vt:vector size="8" baseType="lpstr">
      <vt:lpstr>Documentation</vt:lpstr>
      <vt:lpstr>Start</vt:lpstr>
      <vt:lpstr>Samples</vt:lpstr>
      <vt:lpstr>Example Evolution</vt:lpstr>
      <vt:lpstr>PreviousYear</vt:lpstr>
      <vt:lpstr>FName</vt:lpstr>
      <vt:lpstr>FNameP</vt:lpstr>
      <vt:lpstr>RecalcCell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Domenico Zucchetti</dc:creator>
  <cp:lastModifiedBy>Domenico Zucchetti</cp:lastModifiedBy>
  <dcterms:created xsi:type="dcterms:W3CDTF">2014-07-24T08:59:22Z</dcterms:created>
  <dcterms:modified xsi:type="dcterms:W3CDTF">2015-05-12T06:31:05Z</dcterms:modified>
</cp:coreProperties>
</file>