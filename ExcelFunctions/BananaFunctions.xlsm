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domen_000\Documents\GitHub\General\ExcelFunctions\"/>
    </mc:Choice>
  </mc:AlternateContent>
  <bookViews>
    <workbookView xWindow="16980" yWindow="150" windowWidth="25350" windowHeight="12705" activeTab="1"/>
  </bookViews>
  <sheets>
    <sheet name="Start" sheetId="1" r:id="rId1"/>
    <sheet name="Samples" sheetId="6" r:id="rId2"/>
  </sheets>
  <functionGroups builtInGroupCount="18"/>
  <definedNames>
    <definedName name="_xlnm.Print_Area" localSheetId="1">Samples!$B$2:$D$32</definedName>
    <definedName name="File0">Start!$B$11</definedName>
    <definedName name="File1">Start!$B$13</definedName>
    <definedName name="File2">Start!$B$14</definedName>
    <definedName name="RecalcCell">Start!#REF!</definedName>
  </definedNames>
  <calcPr calcId="152511"/>
</workbook>
</file>

<file path=xl/calcChain.xml><?xml version="1.0" encoding="utf-8"?>
<calcChain xmlns="http://schemas.openxmlformats.org/spreadsheetml/2006/main">
  <c r="C4" i="6" l="1"/>
  <c r="B14" i="1" l="1"/>
  <c r="B13" i="1"/>
  <c r="D4" i="6" s="1"/>
  <c r="B11" i="1"/>
  <c r="B16" i="1"/>
  <c r="B16" i="6"/>
  <c r="B5" i="6"/>
  <c r="D5" i="6"/>
  <c r="D10" i="6"/>
  <c r="D11" i="6"/>
  <c r="D12" i="6"/>
  <c r="D13" i="6"/>
  <c r="D17" i="6"/>
  <c r="D18" i="6"/>
  <c r="D19" i="6"/>
  <c r="D6" i="6"/>
  <c r="D14" i="6"/>
  <c r="D7" i="6"/>
  <c r="D15" i="6"/>
  <c r="D8" i="6"/>
  <c r="D16" i="6"/>
  <c r="D9" i="6"/>
  <c r="D22" i="6"/>
  <c r="D25" i="6"/>
  <c r="D26" i="6"/>
  <c r="D27" i="6"/>
  <c r="D28" i="6"/>
  <c r="D29" i="6"/>
  <c r="D30" i="6"/>
  <c r="D31" i="6"/>
  <c r="D24" i="6"/>
  <c r="D32" i="6"/>
  <c r="C5" i="6"/>
  <c r="C8" i="6"/>
  <c r="B9" i="6"/>
  <c r="C6" i="6"/>
  <c r="B6" i="6"/>
  <c r="B7" i="6"/>
  <c r="C9" i="6"/>
  <c r="C10" i="6"/>
  <c r="B10" i="6"/>
  <c r="C7" i="6"/>
  <c r="B8" i="6"/>
  <c r="B11" i="6"/>
  <c r="C11" i="6"/>
  <c r="C12" i="6"/>
  <c r="B12" i="6"/>
  <c r="C13" i="6"/>
  <c r="B13" i="6"/>
  <c r="C14" i="6"/>
  <c r="B14" i="6"/>
  <c r="C19" i="6"/>
  <c r="B19" i="6"/>
  <c r="B17" i="6"/>
  <c r="B18" i="6"/>
  <c r="B22" i="6"/>
  <c r="B28" i="6"/>
  <c r="B26" i="6"/>
  <c r="B29" i="6"/>
  <c r="B25" i="6"/>
  <c r="B31" i="6"/>
  <c r="B24" i="6"/>
  <c r="B32" i="6"/>
  <c r="B27" i="6"/>
  <c r="B30" i="6"/>
  <c r="C16" i="6"/>
  <c r="C17" i="6"/>
  <c r="C18" i="6"/>
  <c r="C22" i="6"/>
  <c r="C26" i="6"/>
  <c r="C25" i="6"/>
  <c r="C27" i="6"/>
  <c r="C28" i="6"/>
  <c r="C29" i="6"/>
  <c r="C30" i="6"/>
  <c r="C24" i="6"/>
  <c r="C31" i="6"/>
  <c r="C32" i="6"/>
  <c r="B2" i="6"/>
  <c r="D21" i="6"/>
  <c r="C21" i="6"/>
  <c r="C6" i="1" l="1"/>
</calcChain>
</file>

<file path=xl/sharedStrings.xml><?xml version="1.0" encoding="utf-8"?>
<sst xmlns="http://schemas.openxmlformats.org/spreadsheetml/2006/main" count="61" uniqueCount="58">
  <si>
    <t>Macro RecalculateAll (Ctrl+R)</t>
  </si>
  <si>
    <t>Retrieve data from Banana Accounting</t>
  </si>
  <si>
    <t>company-2015.ac2</t>
  </si>
  <si>
    <t>company-2014.ac2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</si>
  <si>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</si>
  <si>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</si>
  <si>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</si>
  <si>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</si>
  <si>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</si>
  <si>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</si>
  <si>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</si>
  <si>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</si>
  <si>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</si>
  <si>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</si>
  <si>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2. Open Banana Accounting files</t>
  </si>
  <si>
    <t>License terms</t>
  </si>
  <si>
    <t>3. Recalculate spreadsheet  B (Data is not retrieved without full recalculation)</t>
  </si>
  <si>
    <t>Gr=3</t>
  </si>
  <si>
    <t>Gr=4</t>
  </si>
  <si>
    <t>Banana Functions version</t>
  </si>
  <si>
    <t>Gr=02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</si>
  <si>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</si>
  <si>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</si>
  <si>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</si>
  <si>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</si>
  <si>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</si>
  <si>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</si>
  <si>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Use File0 in the formula for file previous year</t>
  </si>
  <si>
    <t>File name previous year</t>
  </si>
  <si>
    <t>File name year -2</t>
  </si>
  <si>
    <t>File2</t>
  </si>
  <si>
    <t>company-2013.ac2</t>
  </si>
  <si>
    <t>If Banana is not open the query take a long time</t>
  </si>
  <si>
    <t>We call just once. If Banana is not open File0 will be void.</t>
  </si>
  <si>
    <t>Successive call will take no time even if Banana is not open</t>
  </si>
  <si>
    <t xml:space="preserve"> Copyright (C) 2015 Banana.ch SA</t>
  </si>
  <si>
    <t>Gr=100</t>
  </si>
  <si>
    <t>Balance</t>
  </si>
  <si>
    <t>Gr=110</t>
  </si>
  <si>
    <t>Gr=120</t>
  </si>
  <si>
    <t>Gr=130</t>
  </si>
  <si>
    <t>Gr=10</t>
  </si>
  <si>
    <t>Gr=140</t>
  </si>
  <si>
    <t>Gr=150</t>
  </si>
  <si>
    <t>Gr=1</t>
  </si>
  <si>
    <t>Gr=14</t>
  </si>
  <si>
    <t>Gr=20</t>
  </si>
  <si>
    <t>Gr=21</t>
  </si>
  <si>
    <t>Gr=25</t>
  </si>
  <si>
    <t>Gr=2</t>
  </si>
  <si>
    <t>Income Statement</t>
  </si>
  <si>
    <t>Gr=30</t>
  </si>
  <si>
    <t>Gr=310</t>
  </si>
  <si>
    <t>Gr=320</t>
  </si>
  <si>
    <t>Gr=330</t>
  </si>
  <si>
    <t>Gr=31</t>
  </si>
  <si>
    <t>Gr=37</t>
  </si>
  <si>
    <t>Gr=38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</si>
</sst>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64" formatCode="[$-F800]dddd\,\ mmmm\ dd\,\ yyyy"/>
  </numFmts>
  <fonts count="20" x14ac:knownFonts="1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43" fontId="8" fillId="0" borderId="0" xfId="1" applyFont="1" applyAlignment="1"/>
    <xf numFmtId="0" fontId="9" fillId="0" borderId="0" xfId="0" applyFont="1" applyAlignment="1">
      <alignment vertical="center" wrapText="1"/>
    </xf>
    <xf numFmtId="43" fontId="8" fillId="0" borderId="0" xfId="1" applyFont="1"/>
    <xf numFmtId="164" fontId="7" fillId="0" borderId="0" xfId="0" applyNumberFormat="1" applyFont="1"/>
    <xf numFmtId="0" fontId="10" fillId="0" borderId="0" xfId="0" applyFont="1" applyAlignment="1">
      <alignment vertical="center" wrapText="1"/>
    </xf>
    <xf numFmtId="0" fontId="9" fillId="0" borderId="0" xfId="0" applyFont="1"/>
    <xf numFmtId="0" fontId="11" fillId="0" borderId="0" xfId="0" applyFont="1"/>
    <xf numFmtId="0" fontId="12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quotePrefix="1"/>
    <xf numFmtId="0" fontId="13" fillId="0" borderId="0" xfId="2"/>
    <xf numFmtId="0" fontId="13" fillId="0" borderId="0" xfId="2" applyFont="1"/>
    <xf numFmtId="0" fontId="0" fillId="0" borderId="0" xfId="0" applyFill="1"/>
    <xf numFmtId="0" fontId="14" fillId="0" borderId="0" xfId="0" applyFont="1"/>
    <xf numFmtId="14" fontId="8" fillId="0" borderId="0" xfId="1" applyNumberFormat="1" applyFont="1" applyAlignment="1"/>
    <xf numFmtId="0" fontId="16" fillId="0" borderId="0" xfId="0" applyFont="1" applyAlignment="1">
      <alignment vertical="center"/>
    </xf>
    <xf numFmtId="0" fontId="17" fillId="0" borderId="0" xfId="0" applyFont="1"/>
    <xf numFmtId="0" fontId="0" fillId="0" borderId="0" xfId="0" quotePrefix="1" applyFont="1"/>
    <xf numFmtId="43" fontId="8" fillId="0" borderId="3" xfId="1" applyFont="1" applyBorder="1" applyAlignment="1"/>
    <xf numFmtId="43" fontId="18" fillId="0" borderId="0" xfId="1" applyFont="1" applyAlignment="1"/>
    <xf numFmtId="0" fontId="19" fillId="0" borderId="0" xfId="0" applyFont="1"/>
    <xf numFmtId="0" fontId="7" fillId="0" borderId="4" xfId="0" applyFont="1" applyBorder="1" applyAlignment="1">
      <alignment vertical="center" wrapText="1"/>
    </xf>
    <xf numFmtId="43" fontId="8" fillId="0" borderId="0" xfId="1" applyFont="1" applyBorder="1" applyAlignment="1"/>
    <xf numFmtId="43" fontId="8" fillId="0" borderId="5" xfId="1" applyFont="1" applyBorder="1" applyAlignment="1"/>
    <xf numFmtId="0" fontId="9" fillId="0" borderId="4" xfId="0" applyFont="1" applyBorder="1" applyAlignment="1">
      <alignment vertical="center" wrapText="1"/>
    </xf>
    <xf numFmtId="43" fontId="18" fillId="0" borderId="0" xfId="1" applyFont="1" applyBorder="1" applyAlignment="1"/>
    <xf numFmtId="43" fontId="8" fillId="0" borderId="0" xfId="1" applyFont="1" applyBorder="1"/>
    <xf numFmtId="0" fontId="9" fillId="0" borderId="6" xfId="0" applyFont="1" applyBorder="1" applyAlignment="1">
      <alignment vertical="center" wrapText="1"/>
    </xf>
    <xf numFmtId="43" fontId="18" fillId="0" borderId="7" xfId="1" applyFont="1" applyBorder="1" applyAlignment="1"/>
    <xf numFmtId="0" fontId="11" fillId="0" borderId="1" xfId="0" applyFont="1" applyBorder="1"/>
    <xf numFmtId="14" fontId="8" fillId="0" borderId="2" xfId="1" applyNumberFormat="1" applyFont="1" applyBorder="1" applyAlignment="1">
      <alignment horizontal="center"/>
    </xf>
    <xf numFmtId="14" fontId="8" fillId="0" borderId="3" xfId="1" applyNumberFormat="1" applyFont="1" applyBorder="1" applyAlignment="1">
      <alignment horizontal="center"/>
    </xf>
    <xf numFmtId="0" fontId="9" fillId="0" borderId="1" xfId="0" applyFont="1" applyBorder="1" applyAlignment="1">
      <alignment vertical="center" wrapText="1"/>
    </xf>
    <xf numFmtId="43" fontId="18" fillId="0" borderId="2" xfId="1" applyFont="1" applyBorder="1" applyAlignment="1"/>
    <xf numFmtId="43" fontId="18" fillId="0" borderId="5" xfId="1" applyFont="1" applyBorder="1" applyAlignment="1"/>
    <xf numFmtId="0" fontId="0" fillId="0" borderId="5" xfId="0" applyBorder="1"/>
    <xf numFmtId="0" fontId="9" fillId="0" borderId="1" xfId="0" applyFont="1" applyBorder="1"/>
    <xf numFmtId="43" fontId="18" fillId="0" borderId="3" xfId="1" applyFont="1" applyBorder="1" applyAlignment="1"/>
    <xf numFmtId="43" fontId="18" fillId="0" borderId="8" xfId="1" applyFont="1" applyBorder="1" applyAlignment="1"/>
  </cellXfs>
  <cellStyles count="3">
    <cellStyle name="Collegamento ipertestuale" xfId="2" builtinId="8"/>
    <cellStyle name="Migliaia" xfId="1" builtinId="3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866775</xdr:colOff>
          <xdr:row>0</xdr:row>
          <xdr:rowOff>95250</xdr:rowOff>
        </xdr:from>
        <xdr:to>
          <xdr:col>1</xdr:col>
          <xdr:colOff>2324100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CH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F85"/>
  <sheetViews>
    <sheetView topLeftCell="A16" workbookViewId="0">
      <selection activeCell="A46" sqref="A46"/>
    </sheetView>
  </sheetViews>
  <sheetFormatPr defaultColWidth="9.140625" defaultRowHeight="15" x14ac:dyDescent="0.25"/>
  <cols>
    <col min="1" max="1" width="34.85546875" customWidth="1"/>
    <col min="2" max="2" width="42.140625" customWidth="1"/>
    <col min="3" max="3" width="15.28515625" customWidth="1"/>
    <col min="4" max="4" width="14" customWidth="1"/>
    <col min="5" max="5" width="11.42578125" customWidth="1"/>
    <col min="6" max="6" width="12" customWidth="1"/>
  </cols>
  <sheetData>
    <row r="1" spans="1:5" ht="15.75" x14ac:dyDescent="0.25">
      <c r="A1" s="6"/>
    </row>
    <row r="2" spans="1:5" x14ac:dyDescent="0.25">
      <c r="A2" s="19" t="s">
        <v>0</v>
      </c>
    </row>
    <row r="3" spans="1:5" x14ac:dyDescent="0.25">
      <c r="A3" s="19"/>
    </row>
    <row r="4" spans="1:5" x14ac:dyDescent="0.25">
      <c r="A4" s="19"/>
    </row>
    <row r="5" spans="1:5" x14ac:dyDescent="0.25">
      <c r="B5" s="24"/>
      <c r="E5" s="23"/>
    </row>
    <row r="6" spans="1:5" x14ac:dyDescent="0.25">
      <c r="A6" s="18" t="s">
        <v>25</v>
      </c>
      <c r="B6" s="20" t="s">
        <v>2</v>
      </c>
      <c r="C6" t="str">
        <f>IF(B11="","Banana not open, file not open or WebServer not active","Banana Connection OK")</f>
        <v>Banana Connection OK</v>
      </c>
    </row>
    <row r="7" spans="1:5" x14ac:dyDescent="0.25">
      <c r="A7" s="18" t="s">
        <v>28</v>
      </c>
      <c r="B7" s="20" t="s">
        <v>3</v>
      </c>
    </row>
    <row r="8" spans="1:5" x14ac:dyDescent="0.25">
      <c r="A8" s="18" t="s">
        <v>29</v>
      </c>
      <c r="B8" s="20" t="s">
        <v>31</v>
      </c>
    </row>
    <row r="9" spans="1:5" x14ac:dyDescent="0.25">
      <c r="B9" s="26"/>
    </row>
    <row r="10" spans="1:5" x14ac:dyDescent="0.25">
      <c r="A10" t="s">
        <v>26</v>
      </c>
      <c r="B10" s="26"/>
    </row>
    <row r="11" spans="1:5" x14ac:dyDescent="0.25">
      <c r="A11" s="18" t="s">
        <v>21</v>
      </c>
      <c r="B11" s="18" t="str">
        <f>BFileName( B6)</f>
        <v>company-2015.ac2</v>
      </c>
      <c r="C11" t="s">
        <v>32</v>
      </c>
    </row>
    <row r="12" spans="1:5" x14ac:dyDescent="0.25">
      <c r="A12" t="s">
        <v>27</v>
      </c>
      <c r="B12" s="18"/>
      <c r="C12" t="s">
        <v>33</v>
      </c>
    </row>
    <row r="13" spans="1:5" x14ac:dyDescent="0.25">
      <c r="A13" s="18" t="s">
        <v>22</v>
      </c>
      <c r="B13" s="18" t="str">
        <f>BFileName( B7)</f>
        <v>company-2014.ac2</v>
      </c>
      <c r="C13" t="s">
        <v>34</v>
      </c>
    </row>
    <row r="14" spans="1:5" x14ac:dyDescent="0.25">
      <c r="A14" s="18" t="s">
        <v>30</v>
      </c>
      <c r="B14" s="18" t="str">
        <f>BFileName( B8)</f>
        <v/>
      </c>
    </row>
    <row r="16" spans="1:5" x14ac:dyDescent="0.25">
      <c r="A16" s="18" t="s">
        <v>19</v>
      </c>
      <c r="B16" s="22" t="str">
        <f>BFunctionsVersion()</f>
        <v>2015-10-04</v>
      </c>
      <c r="D16" s="5"/>
    </row>
    <row r="17" spans="1:6" x14ac:dyDescent="0.25">
      <c r="B17" s="18"/>
      <c r="C17" s="22"/>
      <c r="E17" s="12"/>
      <c r="F17" s="12"/>
    </row>
    <row r="18" spans="1:6" s="7" customFormat="1" x14ac:dyDescent="0.25">
      <c r="A18" s="10"/>
      <c r="B18" s="11"/>
      <c r="C18" s="11"/>
      <c r="D18" s="12"/>
      <c r="E18" s="12"/>
      <c r="F18" s="12"/>
    </row>
    <row r="19" spans="1:6" s="7" customFormat="1" ht="18" x14ac:dyDescent="0.25">
      <c r="A19" s="29" t="s">
        <v>23</v>
      </c>
      <c r="B19" s="11"/>
      <c r="C19" s="11"/>
      <c r="D19" s="12"/>
      <c r="E19" s="12"/>
      <c r="F19" s="12"/>
    </row>
    <row r="20" spans="1:6" s="7" customFormat="1" ht="15.75" x14ac:dyDescent="0.25">
      <c r="A20" s="27" t="s">
        <v>1</v>
      </c>
      <c r="B20" s="11"/>
      <c r="C20" s="11"/>
      <c r="D20" s="12"/>
      <c r="E20" s="12"/>
      <c r="F20" s="12"/>
    </row>
    <row r="21" spans="1:6" s="7" customFormat="1" x14ac:dyDescent="0.25">
      <c r="A21" t="s">
        <v>24</v>
      </c>
      <c r="B21" s="11"/>
      <c r="C21" s="11"/>
      <c r="D21" s="12"/>
      <c r="E21" s="12"/>
      <c r="F21" s="12"/>
    </row>
    <row r="22" spans="1:6" s="7" customFormat="1" x14ac:dyDescent="0.25">
      <c r="A22" t="s">
        <v>14</v>
      </c>
      <c r="B22" s="11"/>
      <c r="C22" s="11"/>
      <c r="D22" s="12"/>
      <c r="E22" s="12"/>
      <c r="F22" s="12"/>
    </row>
    <row r="23" spans="1:6" s="7" customFormat="1" x14ac:dyDescent="0.25">
      <c r="A23" t="s">
        <v>16</v>
      </c>
      <c r="B23" s="11"/>
      <c r="C23" s="11"/>
      <c r="D23" s="12"/>
      <c r="E23" s="12"/>
      <c r="F23" s="12"/>
    </row>
    <row r="24" spans="1:6" s="7" customFormat="1" x14ac:dyDescent="0.25">
      <c r="A24" s="26"/>
      <c r="B24" s="11"/>
      <c r="C24" s="11"/>
      <c r="D24" s="12"/>
      <c r="E24" s="12"/>
      <c r="F24" s="12"/>
    </row>
    <row r="25" spans="1:6" s="7" customFormat="1" x14ac:dyDescent="0.25">
      <c r="A25"/>
      <c r="B25" s="13"/>
      <c r="C25" s="13"/>
      <c r="D25" s="12"/>
      <c r="E25" s="12"/>
      <c r="F25" s="12"/>
    </row>
    <row r="26" spans="1:6" s="7" customFormat="1" ht="18.75" x14ac:dyDescent="0.3">
      <c r="A26" s="30" t="s">
        <v>15</v>
      </c>
      <c r="B26" s="11"/>
      <c r="C26" s="11"/>
      <c r="D26" s="12"/>
      <c r="E26" s="12"/>
      <c r="F26" s="12"/>
    </row>
    <row r="27" spans="1:6" s="7" customFormat="1" x14ac:dyDescent="0.25">
      <c r="A27" s="31" t="s">
        <v>35</v>
      </c>
      <c r="B27" s="11"/>
      <c r="C27" s="11"/>
      <c r="D27" s="12"/>
      <c r="E27" s="12"/>
      <c r="F27" s="12"/>
    </row>
    <row r="28" spans="1:6" s="7" customFormat="1" x14ac:dyDescent="0.25">
      <c r="A28" s="22" t="s">
        <v>4</v>
      </c>
      <c r="B28" s="11"/>
      <c r="C28" s="11"/>
      <c r="D28" s="12"/>
      <c r="E28" s="12"/>
      <c r="F28" s="12"/>
    </row>
    <row r="29" spans="1:6" x14ac:dyDescent="0.25">
      <c r="A29" s="22" t="s">
        <v>5</v>
      </c>
      <c r="B29" s="13"/>
      <c r="C29" s="13"/>
      <c r="D29" s="14"/>
      <c r="E29" s="14"/>
      <c r="F29" s="14"/>
    </row>
    <row r="30" spans="1:6" x14ac:dyDescent="0.25">
      <c r="A30" s="22" t="s">
        <v>6</v>
      </c>
      <c r="B30" s="11"/>
      <c r="C30" s="11"/>
      <c r="D30" s="14"/>
      <c r="E30" s="14"/>
      <c r="F30" s="14"/>
    </row>
    <row r="31" spans="1:6" x14ac:dyDescent="0.25">
      <c r="A31" s="22" t="s">
        <v>7</v>
      </c>
      <c r="B31" s="11"/>
      <c r="C31" s="11"/>
      <c r="D31" s="14"/>
      <c r="E31" s="14"/>
      <c r="F31" s="14"/>
    </row>
    <row r="32" spans="1:6" x14ac:dyDescent="0.25">
      <c r="A32" s="22" t="s">
        <v>4</v>
      </c>
      <c r="B32" s="11"/>
      <c r="C32" s="11"/>
      <c r="D32" s="14"/>
      <c r="E32" s="14"/>
      <c r="F32" s="14"/>
    </row>
    <row r="33" spans="1:6" x14ac:dyDescent="0.25">
      <c r="A33" s="25" t="s">
        <v>8</v>
      </c>
      <c r="B33" s="13"/>
      <c r="C33" s="13"/>
      <c r="D33" s="14"/>
      <c r="E33" s="14"/>
      <c r="F33" s="14"/>
    </row>
    <row r="34" spans="1:6" x14ac:dyDescent="0.25">
      <c r="A34" s="22" t="s">
        <v>4</v>
      </c>
      <c r="B34" s="11"/>
      <c r="C34" s="11"/>
      <c r="D34" s="12"/>
      <c r="E34" s="12"/>
      <c r="F34" s="12"/>
    </row>
    <row r="35" spans="1:6" x14ac:dyDescent="0.25">
      <c r="A35" s="22" t="s">
        <v>9</v>
      </c>
      <c r="B35" s="11"/>
      <c r="C35" s="11"/>
      <c r="D35" s="12"/>
      <c r="E35" s="12"/>
      <c r="F35" s="12"/>
    </row>
    <row r="36" spans="1:6" x14ac:dyDescent="0.25">
      <c r="A36" s="22" t="s">
        <v>10</v>
      </c>
      <c r="B36" s="11"/>
      <c r="C36" s="11"/>
      <c r="D36" s="12"/>
      <c r="E36" s="12"/>
      <c r="F36" s="12"/>
    </row>
    <row r="37" spans="1:6" x14ac:dyDescent="0.25">
      <c r="A37" s="22" t="s">
        <v>11</v>
      </c>
      <c r="B37" s="17"/>
      <c r="C37" s="17"/>
      <c r="D37" s="9"/>
      <c r="E37" s="9"/>
      <c r="F37" s="9"/>
    </row>
    <row r="38" spans="1:6" x14ac:dyDescent="0.25">
      <c r="A38" s="22" t="s">
        <v>12</v>
      </c>
      <c r="B38" s="11"/>
      <c r="C38" s="11"/>
      <c r="D38" s="12"/>
      <c r="E38" s="12"/>
      <c r="F38" s="12"/>
    </row>
    <row r="39" spans="1:6" x14ac:dyDescent="0.25">
      <c r="A39" s="22" t="s">
        <v>13</v>
      </c>
      <c r="B39" s="11"/>
      <c r="C39" s="11"/>
      <c r="D39" s="12"/>
      <c r="E39" s="12"/>
      <c r="F39" s="12"/>
    </row>
    <row r="40" spans="1:6" x14ac:dyDescent="0.25">
      <c r="A40" s="8"/>
      <c r="B40" s="17"/>
      <c r="C40" s="17"/>
      <c r="D40" s="9"/>
      <c r="E40" s="9"/>
      <c r="F40" s="9"/>
    </row>
    <row r="41" spans="1:6" x14ac:dyDescent="0.25">
      <c r="A41" s="10"/>
      <c r="B41" s="11"/>
      <c r="C41" s="11"/>
      <c r="D41" s="12"/>
      <c r="E41" s="12"/>
      <c r="F41" s="12"/>
    </row>
    <row r="42" spans="1:6" x14ac:dyDescent="0.25">
      <c r="A42" s="10"/>
      <c r="B42" s="11"/>
      <c r="C42" s="11"/>
      <c r="D42" s="12"/>
      <c r="E42" s="12"/>
      <c r="F42" s="12"/>
    </row>
    <row r="43" spans="1:6" x14ac:dyDescent="0.25">
      <c r="A43" s="10"/>
      <c r="B43" s="13"/>
      <c r="C43" s="13"/>
      <c r="D43" s="12"/>
      <c r="E43" s="12"/>
      <c r="F43" s="12"/>
    </row>
    <row r="44" spans="1:6" x14ac:dyDescent="0.25">
      <c r="A44" s="10"/>
      <c r="B44" s="11"/>
      <c r="C44" s="11"/>
      <c r="D44" s="12"/>
      <c r="E44" s="12"/>
      <c r="F44" s="12"/>
    </row>
    <row r="45" spans="1:6" x14ac:dyDescent="0.25">
      <c r="A45" s="10"/>
      <c r="B45" s="11"/>
      <c r="C45" s="11"/>
      <c r="D45" s="12"/>
      <c r="E45" s="12"/>
      <c r="F45" s="12"/>
    </row>
    <row r="46" spans="1:6" x14ac:dyDescent="0.25">
      <c r="A46" s="11"/>
      <c r="B46" s="13"/>
      <c r="C46" s="13"/>
      <c r="D46" s="9"/>
      <c r="E46" s="9"/>
      <c r="F46" s="9"/>
    </row>
    <row r="47" spans="1:6" x14ac:dyDescent="0.25">
      <c r="A47" s="11"/>
      <c r="B47" s="8"/>
      <c r="C47" s="8"/>
      <c r="D47" s="9"/>
      <c r="E47" s="9"/>
      <c r="F47" s="9"/>
    </row>
    <row r="48" spans="1:6" x14ac:dyDescent="0.25">
      <c r="A48" s="13"/>
      <c r="B48" s="8"/>
      <c r="C48" s="8"/>
      <c r="D48" s="9"/>
      <c r="E48" s="9"/>
      <c r="F48" s="9"/>
    </row>
    <row r="49" spans="1:6" x14ac:dyDescent="0.25">
      <c r="A49" s="8"/>
      <c r="B49" s="15"/>
      <c r="C49" s="15"/>
      <c r="D49" s="9"/>
      <c r="E49" s="9"/>
      <c r="F49" s="9"/>
    </row>
    <row r="50" spans="1:6" x14ac:dyDescent="0.25">
      <c r="A50" s="16"/>
      <c r="B50" s="9"/>
      <c r="C50" s="9"/>
      <c r="D50" s="9"/>
      <c r="E50" s="9"/>
      <c r="F50" s="9"/>
    </row>
    <row r="51" spans="1:6" x14ac:dyDescent="0.25">
      <c r="A51" s="1"/>
    </row>
    <row r="52" spans="1:6" x14ac:dyDescent="0.25">
      <c r="A52" s="1"/>
      <c r="B52" s="13"/>
      <c r="C52" s="1"/>
    </row>
    <row r="53" spans="1:6" x14ac:dyDescent="0.25">
      <c r="C53" s="1"/>
    </row>
    <row r="54" spans="1:6" x14ac:dyDescent="0.25">
      <c r="C54" s="1"/>
    </row>
    <row r="55" spans="1:6" x14ac:dyDescent="0.25">
      <c r="C55" s="1"/>
    </row>
    <row r="56" spans="1:6" x14ac:dyDescent="0.25">
      <c r="C56" s="1"/>
    </row>
    <row r="57" spans="1:6" x14ac:dyDescent="0.25">
      <c r="C57" s="1"/>
    </row>
    <row r="58" spans="1:6" x14ac:dyDescent="0.25">
      <c r="C58" s="1"/>
    </row>
    <row r="59" spans="1:6" x14ac:dyDescent="0.25">
      <c r="A59" s="1"/>
      <c r="B59" s="1"/>
      <c r="C59" s="1"/>
    </row>
    <row r="60" spans="1:6" x14ac:dyDescent="0.25">
      <c r="A60" s="2"/>
      <c r="B60" s="1"/>
      <c r="C60" s="1"/>
    </row>
    <row r="61" spans="1:6" x14ac:dyDescent="0.25">
      <c r="A61" s="1"/>
      <c r="B61" s="1"/>
      <c r="C61" s="1"/>
    </row>
    <row r="62" spans="1:6" x14ac:dyDescent="0.25">
      <c r="A62" s="1"/>
      <c r="B62" s="1"/>
      <c r="C62" s="1"/>
    </row>
    <row r="63" spans="1:6" x14ac:dyDescent="0.25">
      <c r="A63" s="1"/>
      <c r="B63" s="1"/>
      <c r="C63" s="1"/>
    </row>
    <row r="64" spans="1:6" x14ac:dyDescent="0.25">
      <c r="A64" s="2"/>
      <c r="B64" s="1"/>
      <c r="C64" s="1"/>
    </row>
    <row r="65" spans="1:3" x14ac:dyDescent="0.25">
      <c r="A65" s="3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3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3"/>
      <c r="B72" s="1"/>
      <c r="C72" s="1"/>
    </row>
    <row r="73" spans="1:3" x14ac:dyDescent="0.25">
      <c r="A73" s="4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2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4"/>
      <c r="B81" s="1"/>
      <c r="C81" s="1"/>
    </row>
    <row r="82" spans="1:3" x14ac:dyDescent="0.25">
      <c r="A82" s="2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</sheetData>
  <hyperlinks>
    <hyperlink ref="A3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1</xdr:col>
                    <xdr:colOff>866775</xdr:colOff>
                    <xdr:row>0</xdr:row>
                    <xdr:rowOff>95250</xdr:rowOff>
                  </from>
                  <to>
                    <xdr:col>1</xdr:col>
                    <xdr:colOff>2324100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D78"/>
  <sheetViews>
    <sheetView tabSelected="1" workbookViewId="0">
      <selection activeCell="C5" sqref="C5"/>
    </sheetView>
  </sheetViews>
  <sheetFormatPr defaultColWidth="9.140625" defaultRowHeight="15" x14ac:dyDescent="0.25"/>
  <cols>
    <col min="1" max="1" width="12" customWidth="1"/>
    <col min="2" max="2" width="42.140625" customWidth="1"/>
    <col min="3" max="3" width="17" customWidth="1"/>
    <col min="4" max="4" width="13.5703125" customWidth="1"/>
  </cols>
  <sheetData>
    <row r="2" spans="1:4" ht="18" x14ac:dyDescent="0.25">
      <c r="B2" s="34" t="str">
        <f ca="1">BInfo( File0,"Base","HeaderLeft")</f>
        <v>Sibex Ltd</v>
      </c>
      <c r="C2" s="28"/>
    </row>
    <row r="3" spans="1:4" ht="18" x14ac:dyDescent="0.25">
      <c r="B3" s="34"/>
      <c r="C3" s="28"/>
    </row>
    <row r="4" spans="1:4" x14ac:dyDescent="0.25">
      <c r="B4" s="43" t="s">
        <v>37</v>
      </c>
      <c r="C4" s="44">
        <f ca="1">BDate(BInfo( File0,"AccountingDataBase","ClosureDate"))</f>
        <v>42369</v>
      </c>
      <c r="D4" s="45">
        <f ca="1">BDate(BInfo( File1,"AccountingDataBase","ClosureDate"))</f>
        <v>42004</v>
      </c>
    </row>
    <row r="5" spans="1:4" x14ac:dyDescent="0.25">
      <c r="A5" s="10" t="s">
        <v>36</v>
      </c>
      <c r="B5" s="35" t="str">
        <f ca="1">BAccountDescription(File0,A5)</f>
        <v>Cash</v>
      </c>
      <c r="C5" s="36">
        <f ca="1">BAmount(File0,$A5)</f>
        <v>17738.18</v>
      </c>
      <c r="D5" s="37">
        <f ca="1">BAmount(File1,$A5)</f>
        <v>19070</v>
      </c>
    </row>
    <row r="6" spans="1:4" x14ac:dyDescent="0.25">
      <c r="A6" s="10" t="s">
        <v>38</v>
      </c>
      <c r="B6" s="35" t="str">
        <f ca="1">BAccountDescription(File0,A6)</f>
        <v>Accounts Receivable</v>
      </c>
      <c r="C6" s="36">
        <f ca="1">BAmount(File0,$A6)</f>
        <v>10000</v>
      </c>
      <c r="D6" s="37">
        <f ca="1">BAmount(File1,$A6)</f>
        <v>10000</v>
      </c>
    </row>
    <row r="7" spans="1:4" s="7" customFormat="1" x14ac:dyDescent="0.25">
      <c r="A7" s="10" t="s">
        <v>39</v>
      </c>
      <c r="B7" s="35" t="str">
        <f ca="1">BAccountDescription(File0,A7)</f>
        <v>Inventory</v>
      </c>
      <c r="C7" s="36">
        <f ca="1">BAmount(File0,$A7)</f>
        <v>7000</v>
      </c>
      <c r="D7" s="37">
        <f ca="1">BAmount(File1,$A7)</f>
        <v>7000</v>
      </c>
    </row>
    <row r="8" spans="1:4" s="7" customFormat="1" x14ac:dyDescent="0.25">
      <c r="A8" s="10" t="s">
        <v>40</v>
      </c>
      <c r="B8" s="35" t="str">
        <f ca="1">BAccountDescription(File0,A8)</f>
        <v>Prepaid Expenses</v>
      </c>
      <c r="C8" s="36">
        <f ca="1">BAmount(File0,$A8)</f>
        <v>0</v>
      </c>
      <c r="D8" s="37">
        <f ca="1">BAmount(File1,$A8)</f>
        <v>0</v>
      </c>
    </row>
    <row r="9" spans="1:4" s="7" customFormat="1" x14ac:dyDescent="0.25">
      <c r="A9" s="10" t="s">
        <v>41</v>
      </c>
      <c r="B9" s="38" t="str">
        <f ca="1">BAccountDescription(File0,A9)</f>
        <v>Current Assets</v>
      </c>
      <c r="C9" s="39">
        <f ca="1">BAmount(File0,$A9)</f>
        <v>34738.18</v>
      </c>
      <c r="D9" s="37">
        <f ca="1">BAmount(File1,$A9)</f>
        <v>36070</v>
      </c>
    </row>
    <row r="10" spans="1:4" s="7" customFormat="1" x14ac:dyDescent="0.25">
      <c r="A10" s="10" t="s">
        <v>42</v>
      </c>
      <c r="B10" s="35" t="str">
        <f ca="1">BAccountDescription(File0,A10)</f>
        <v>Equipment</v>
      </c>
      <c r="C10" s="36">
        <f ca="1">BAmount(File0,$A10)</f>
        <v>35000</v>
      </c>
      <c r="D10" s="37">
        <f ca="1">BAmount(File1,$A10)</f>
        <v>35000</v>
      </c>
    </row>
    <row r="11" spans="1:4" s="7" customFormat="1" x14ac:dyDescent="0.25">
      <c r="A11" s="10" t="s">
        <v>43</v>
      </c>
      <c r="B11" s="35" t="str">
        <f ca="1">BAccountDescription(File0,A11)</f>
        <v>Real Estate</v>
      </c>
      <c r="C11" s="36">
        <f ca="1">BAmount(File0,$A11)</f>
        <v>100000</v>
      </c>
      <c r="D11" s="37">
        <f ca="1">BAmount(File1,$A11)</f>
        <v>100000</v>
      </c>
    </row>
    <row r="12" spans="1:4" s="7" customFormat="1" x14ac:dyDescent="0.25">
      <c r="A12" s="10" t="s">
        <v>42</v>
      </c>
      <c r="B12" s="35" t="str">
        <f ca="1">BAccountDescription(File0,A12)</f>
        <v>Equipment</v>
      </c>
      <c r="C12" s="36">
        <f ca="1">BAmount(File0,$A12)</f>
        <v>35000</v>
      </c>
      <c r="D12" s="37">
        <f ca="1">BAmount(File1,$A12)</f>
        <v>35000</v>
      </c>
    </row>
    <row r="13" spans="1:4" s="7" customFormat="1" x14ac:dyDescent="0.25">
      <c r="A13" s="10" t="s">
        <v>45</v>
      </c>
      <c r="B13" s="38" t="str">
        <f ca="1">BAccountDescription(File0,A13)</f>
        <v>Fixed Assets</v>
      </c>
      <c r="C13" s="39">
        <f ca="1">BAmount(File0,$A13)</f>
        <v>135000</v>
      </c>
      <c r="D13" s="37">
        <f ca="1">BAmount(File1,$A13)</f>
        <v>135000</v>
      </c>
    </row>
    <row r="14" spans="1:4" s="7" customFormat="1" x14ac:dyDescent="0.25">
      <c r="A14" s="10" t="s">
        <v>44</v>
      </c>
      <c r="B14" s="46" t="str">
        <f ca="1">BAccountDescription(File0,A14)</f>
        <v>Total ASSETS</v>
      </c>
      <c r="C14" s="47">
        <f ca="1">BAmount(File0,$A14)</f>
        <v>169738.18</v>
      </c>
      <c r="D14" s="32">
        <f ca="1">BAmount(File1,$A14)</f>
        <v>171070</v>
      </c>
    </row>
    <row r="15" spans="1:4" x14ac:dyDescent="0.25">
      <c r="A15" s="11"/>
      <c r="B15" s="38"/>
      <c r="C15" s="40"/>
      <c r="D15" s="37">
        <f ca="1">BAmount(File1,$A15)</f>
        <v>0</v>
      </c>
    </row>
    <row r="16" spans="1:4" x14ac:dyDescent="0.25">
      <c r="A16" s="11" t="s">
        <v>46</v>
      </c>
      <c r="B16" s="35" t="str">
        <f ca="1">BAccountDescription(File0,A16)</f>
        <v>Current Liabilities</v>
      </c>
      <c r="C16" s="40">
        <f ca="1">BAmount(File0,$A16)</f>
        <v>4124.55</v>
      </c>
      <c r="D16" s="37">
        <f ca="1">BAmount(File1,$A16)</f>
        <v>1551.82</v>
      </c>
    </row>
    <row r="17" spans="1:4" x14ac:dyDescent="0.25">
      <c r="A17" s="10" t="s">
        <v>47</v>
      </c>
      <c r="B17" s="35" t="str">
        <f ca="1">BAccountDescription(File0,A17)</f>
        <v>Long-term Liabilities</v>
      </c>
      <c r="C17" s="36">
        <f ca="1">BAmount(File0,$A17)</f>
        <v>80000</v>
      </c>
      <c r="D17" s="37">
        <f ca="1">BAmount(File1,$A17)</f>
        <v>80000</v>
      </c>
    </row>
    <row r="18" spans="1:4" x14ac:dyDescent="0.25">
      <c r="A18" s="10" t="s">
        <v>48</v>
      </c>
      <c r="B18" s="35" t="str">
        <f ca="1">BAccountDescription(File0,A18)</f>
        <v>Shareholders' Equity</v>
      </c>
      <c r="C18" s="36">
        <f ca="1">BAmount(File0,$A18)</f>
        <v>85613.63</v>
      </c>
      <c r="D18" s="37">
        <f ca="1">BAmount(File1,$A18)</f>
        <v>89518.18</v>
      </c>
    </row>
    <row r="19" spans="1:4" x14ac:dyDescent="0.25">
      <c r="A19" s="10" t="s">
        <v>49</v>
      </c>
      <c r="B19" s="46" t="str">
        <f ca="1">BAccountDescription(File0,A19)</f>
        <v>Total LIABILITIES</v>
      </c>
      <c r="C19" s="47">
        <f ca="1">BAmount(File0,$A19)</f>
        <v>169738.18</v>
      </c>
      <c r="D19" s="32">
        <f ca="1">BAmount(File1,$A19)</f>
        <v>171070</v>
      </c>
    </row>
    <row r="20" spans="1:4" x14ac:dyDescent="0.25">
      <c r="A20" s="10"/>
      <c r="B20" s="11"/>
      <c r="C20" s="12"/>
    </row>
    <row r="21" spans="1:4" x14ac:dyDescent="0.25">
      <c r="A21" s="8"/>
      <c r="B21" s="50" t="s">
        <v>50</v>
      </c>
      <c r="C21" s="44">
        <f ca="1">BDate(BInfo( File0,"AccountingDataBase","ClosureDate"))</f>
        <v>42369</v>
      </c>
      <c r="D21" s="45">
        <f ca="1">BDate(BInfo( File1,"AccountingDataBase","ClosureDate"))</f>
        <v>42004</v>
      </c>
    </row>
    <row r="22" spans="1:4" x14ac:dyDescent="0.25">
      <c r="A22" s="11" t="s">
        <v>18</v>
      </c>
      <c r="B22" s="46" t="str">
        <f ca="1">BAccountDescription(File0,A22)</f>
        <v>Total INCOME</v>
      </c>
      <c r="C22" s="47">
        <f ca="1">BAmount(File0,$A22)</f>
        <v>8454.5400000000009</v>
      </c>
      <c r="D22" s="51">
        <f ca="1">BAmount(File1,$A22)</f>
        <v>9545.4500000000007</v>
      </c>
    </row>
    <row r="23" spans="1:4" x14ac:dyDescent="0.25">
      <c r="A23" s="10"/>
      <c r="B23" s="35"/>
      <c r="C23" s="36"/>
      <c r="D23" s="49"/>
    </row>
    <row r="24" spans="1:4" x14ac:dyDescent="0.25">
      <c r="A24" s="11" t="s">
        <v>51</v>
      </c>
      <c r="B24" s="46" t="str">
        <f ca="1">BAccountDescription(File0,A24)</f>
        <v>Cost Of Revenue</v>
      </c>
      <c r="C24" s="47">
        <f ca="1">BAmount(File0,$A24)</f>
        <v>4818.18</v>
      </c>
      <c r="D24" s="51">
        <f ca="1">BAmount(File1,$A24)</f>
        <v>3636.36</v>
      </c>
    </row>
    <row r="25" spans="1:4" x14ac:dyDescent="0.25">
      <c r="A25" s="11" t="s">
        <v>52</v>
      </c>
      <c r="B25" s="35" t="str">
        <f ca="1">BAccountDescription(File0,A25)</f>
        <v>Salary</v>
      </c>
      <c r="C25" s="36">
        <f ca="1">BAmount(File0,$A25)</f>
        <v>0</v>
      </c>
      <c r="D25" s="37">
        <f ca="1">BAmount(File1,$A25)</f>
        <v>0</v>
      </c>
    </row>
    <row r="26" spans="1:4" x14ac:dyDescent="0.25">
      <c r="A26" s="11" t="s">
        <v>53</v>
      </c>
      <c r="B26" s="35" t="str">
        <f ca="1">BAccountDescription(File0,A26)</f>
        <v>General And Administrative</v>
      </c>
      <c r="C26" s="36">
        <f ca="1">BAmount(File0,$A26)</f>
        <v>3540.91</v>
      </c>
      <c r="D26" s="37">
        <f ca="1">BAmount(File1,$A26)</f>
        <v>3390.91</v>
      </c>
    </row>
    <row r="27" spans="1:4" x14ac:dyDescent="0.25">
      <c r="A27" s="11" t="s">
        <v>54</v>
      </c>
      <c r="B27" s="35" t="str">
        <f ca="1">BAccountDescription(File0,A27)</f>
        <v>Financial expenses</v>
      </c>
      <c r="C27" s="36">
        <f ca="1">BAmount(File0,$A27)</f>
        <v>0</v>
      </c>
      <c r="D27" s="37">
        <f ca="1">BAmount(File1,$A27)</f>
        <v>0</v>
      </c>
    </row>
    <row r="28" spans="1:4" x14ac:dyDescent="0.25">
      <c r="A28" s="11" t="s">
        <v>55</v>
      </c>
      <c r="B28" s="46" t="str">
        <f ca="1">BAccountDescription(File0,A28)</f>
        <v>Operating Expenses</v>
      </c>
      <c r="C28" s="47">
        <f ca="1">BAmount(File0,$A28)</f>
        <v>3540.91</v>
      </c>
      <c r="D28" s="51">
        <f ca="1">BAmount(File1,$A28)</f>
        <v>3390.91</v>
      </c>
    </row>
    <row r="29" spans="1:4" x14ac:dyDescent="0.25">
      <c r="A29" s="11" t="s">
        <v>56</v>
      </c>
      <c r="B29" s="38" t="str">
        <f ca="1">BAccountDescription(File0,A29)</f>
        <v>Amortisation</v>
      </c>
      <c r="C29" s="39">
        <f ca="1">BAmount(File0,$A29)</f>
        <v>0</v>
      </c>
      <c r="D29" s="48">
        <f ca="1">BAmount(File1,$A29)</f>
        <v>0</v>
      </c>
    </row>
    <row r="30" spans="1:4" x14ac:dyDescent="0.25">
      <c r="A30" s="11" t="s">
        <v>57</v>
      </c>
      <c r="B30" s="38" t="str">
        <f ca="1">BAccountDescription(File0,A30)</f>
        <v>Taxes</v>
      </c>
      <c r="C30" s="39">
        <f ca="1">BAmount(File0,$A30)</f>
        <v>0</v>
      </c>
      <c r="D30" s="48">
        <f ca="1">BAmount(File1,$A30)</f>
        <v>0</v>
      </c>
    </row>
    <row r="31" spans="1:4" x14ac:dyDescent="0.25">
      <c r="A31" s="11" t="s">
        <v>17</v>
      </c>
      <c r="B31" s="46" t="str">
        <f ca="1">BAccountDescription(File0,A31)</f>
        <v>Total EXPENSES</v>
      </c>
      <c r="C31" s="47">
        <f ca="1">BAmount(File0,$A31)</f>
        <v>8359.09</v>
      </c>
      <c r="D31" s="51">
        <f ca="1">BAmount(File1,$A31)</f>
        <v>7027.27</v>
      </c>
    </row>
    <row r="32" spans="1:4" x14ac:dyDescent="0.25">
      <c r="A32" s="11" t="s">
        <v>20</v>
      </c>
      <c r="B32" s="41" t="str">
        <f ca="1">BAccountDescription(File0,A32)</f>
        <v>Profit(-) Loss(+) from Profit &amp; Loss Statement</v>
      </c>
      <c r="C32" s="42">
        <f ca="1">BAmount(File0,$A32)</f>
        <v>95.45</v>
      </c>
      <c r="D32" s="52">
        <f ca="1">BAmount(File1,$A32)</f>
        <v>2518.1799999999998</v>
      </c>
    </row>
    <row r="33" spans="1:4" x14ac:dyDescent="0.25">
      <c r="A33" s="10"/>
      <c r="B33" s="13"/>
      <c r="C33" s="33"/>
      <c r="D33" s="18"/>
    </row>
    <row r="34" spans="1:4" x14ac:dyDescent="0.25">
      <c r="A34" s="10"/>
      <c r="B34" s="13"/>
      <c r="C34" s="12"/>
    </row>
    <row r="35" spans="1:4" x14ac:dyDescent="0.25">
      <c r="A35" s="10"/>
      <c r="B35" s="11"/>
      <c r="C35" s="12"/>
    </row>
    <row r="36" spans="1:4" x14ac:dyDescent="0.25">
      <c r="A36" s="10"/>
      <c r="B36" s="11"/>
      <c r="C36" s="12"/>
    </row>
    <row r="37" spans="1:4" x14ac:dyDescent="0.25">
      <c r="A37" s="10"/>
      <c r="B37" s="11"/>
      <c r="C37" s="12"/>
    </row>
    <row r="38" spans="1:4" x14ac:dyDescent="0.25">
      <c r="A38" s="11"/>
      <c r="B38" s="13"/>
      <c r="C38" s="9"/>
    </row>
    <row r="39" spans="1:4" x14ac:dyDescent="0.25">
      <c r="A39" s="11"/>
      <c r="B39" s="8"/>
      <c r="C39" s="9"/>
    </row>
    <row r="40" spans="1:4" x14ac:dyDescent="0.25">
      <c r="A40" s="13"/>
      <c r="B40" s="8"/>
      <c r="C40" s="9"/>
    </row>
    <row r="41" spans="1:4" x14ac:dyDescent="0.25">
      <c r="A41" s="8"/>
      <c r="B41" s="15"/>
      <c r="C41" s="9"/>
    </row>
    <row r="42" spans="1:4" x14ac:dyDescent="0.25">
      <c r="A42" s="16"/>
      <c r="B42" s="9"/>
      <c r="C42" s="9"/>
    </row>
    <row r="43" spans="1:4" x14ac:dyDescent="0.25">
      <c r="A43" s="1"/>
    </row>
    <row r="44" spans="1:4" x14ac:dyDescent="0.25">
      <c r="A44" s="1"/>
      <c r="B44" s="13"/>
    </row>
    <row r="45" spans="1:4" x14ac:dyDescent="0.25">
      <c r="A45" s="18"/>
    </row>
    <row r="46" spans="1:4" x14ac:dyDescent="0.25">
      <c r="A46" s="18"/>
    </row>
    <row r="47" spans="1:4" x14ac:dyDescent="0.25">
      <c r="A47" s="22"/>
    </row>
    <row r="48" spans="1:4" x14ac:dyDescent="0.25">
      <c r="A48" s="21"/>
    </row>
    <row r="49" spans="1:2" x14ac:dyDescent="0.25">
      <c r="A49" s="21"/>
    </row>
    <row r="50" spans="1:2" x14ac:dyDescent="0.25">
      <c r="A50" s="21"/>
    </row>
    <row r="51" spans="1:2" x14ac:dyDescent="0.25">
      <c r="A51" s="21"/>
    </row>
    <row r="52" spans="1:2" x14ac:dyDescent="0.25">
      <c r="A52" s="21"/>
    </row>
    <row r="53" spans="1:2" x14ac:dyDescent="0.25">
      <c r="A53" s="21"/>
    </row>
    <row r="54" spans="1:2" x14ac:dyDescent="0.25">
      <c r="A54" s="21"/>
    </row>
    <row r="55" spans="1:2" x14ac:dyDescent="0.25">
      <c r="A55" s="21"/>
    </row>
    <row r="56" spans="1:2" x14ac:dyDescent="0.25">
      <c r="A56" s="21"/>
    </row>
    <row r="57" spans="1:2" x14ac:dyDescent="0.25">
      <c r="A57" s="21"/>
    </row>
    <row r="58" spans="1:2" x14ac:dyDescent="0.25">
      <c r="A58" s="21"/>
    </row>
    <row r="59" spans="1:2" x14ac:dyDescent="0.25">
      <c r="A59" s="1"/>
      <c r="B59" s="1"/>
    </row>
    <row r="60" spans="1:2" x14ac:dyDescent="0.25">
      <c r="A60" s="1"/>
      <c r="B60" s="1"/>
    </row>
    <row r="61" spans="1:2" x14ac:dyDescent="0.25">
      <c r="A61" s="1"/>
      <c r="B61" s="1"/>
    </row>
    <row r="62" spans="1:2" x14ac:dyDescent="0.25">
      <c r="A62" s="3"/>
      <c r="B62" s="1"/>
    </row>
    <row r="63" spans="1:2" x14ac:dyDescent="0.25">
      <c r="A63" s="1"/>
      <c r="B63" s="1"/>
    </row>
    <row r="64" spans="1:2" x14ac:dyDescent="0.25">
      <c r="A64" s="1"/>
      <c r="B64" s="1"/>
    </row>
    <row r="65" spans="1:2" x14ac:dyDescent="0.25">
      <c r="A65" s="3"/>
      <c r="B65" s="1"/>
    </row>
    <row r="66" spans="1:2" x14ac:dyDescent="0.25">
      <c r="A66" s="4"/>
      <c r="B66" s="1"/>
    </row>
    <row r="67" spans="1:2" x14ac:dyDescent="0.25">
      <c r="A67" s="1"/>
      <c r="B67" s="1"/>
    </row>
    <row r="68" spans="1:2" x14ac:dyDescent="0.25">
      <c r="A68" s="1"/>
      <c r="B68" s="1"/>
    </row>
    <row r="69" spans="1:2" x14ac:dyDescent="0.25">
      <c r="A69" s="2"/>
      <c r="B69" s="1"/>
    </row>
    <row r="70" spans="1:2" x14ac:dyDescent="0.25">
      <c r="A70" s="1"/>
      <c r="B70" s="1"/>
    </row>
    <row r="71" spans="1:2" x14ac:dyDescent="0.25">
      <c r="A71" s="1"/>
      <c r="B71" s="1"/>
    </row>
    <row r="72" spans="1:2" x14ac:dyDescent="0.25">
      <c r="A72" s="1"/>
      <c r="B72" s="1"/>
    </row>
    <row r="73" spans="1:2" x14ac:dyDescent="0.25">
      <c r="A73" s="1"/>
      <c r="B73" s="1"/>
    </row>
    <row r="74" spans="1:2" x14ac:dyDescent="0.25">
      <c r="A74" s="4"/>
      <c r="B74" s="1"/>
    </row>
    <row r="75" spans="1:2" x14ac:dyDescent="0.25">
      <c r="A75" s="2"/>
      <c r="B75" s="1"/>
    </row>
    <row r="76" spans="1:2" x14ac:dyDescent="0.25">
      <c r="A76" s="1"/>
      <c r="B76" s="1"/>
    </row>
    <row r="77" spans="1:2" x14ac:dyDescent="0.25">
      <c r="A77" s="1"/>
      <c r="B77" s="1"/>
    </row>
    <row r="78" spans="1:2" x14ac:dyDescent="0.25">
      <c r="A78" s="1"/>
      <c r="B78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</vt:i4>
      </vt:variant>
      <vt:variant>
        <vt:lpstr>Intervalli denominati</vt:lpstr>
      </vt:variant>
      <vt:variant>
        <vt:i4>4</vt:i4>
      </vt:variant>
    </vt:vector>
  </HeadingPairs>
  <TitlesOfParts>
    <vt:vector size="6" baseType="lpstr">
      <vt:lpstr>Start</vt:lpstr>
      <vt:lpstr>Samples</vt:lpstr>
      <vt:lpstr>Samples!Area_stampa</vt:lpstr>
      <vt:lpstr>File0</vt:lpstr>
      <vt:lpstr>File1</vt:lpstr>
      <vt:lpstr>File2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domenico@banana.ch</cp:lastModifiedBy>
  <cp:lastPrinted>2015-10-04T12:42:48Z</cp:lastPrinted>
  <dcterms:created xsi:type="dcterms:W3CDTF">2014-07-24T08:59:22Z</dcterms:created>
  <dcterms:modified xsi:type="dcterms:W3CDTF">2015-10-04T12:51:01Z</dcterms:modified>
</cp:coreProperties>
</file>