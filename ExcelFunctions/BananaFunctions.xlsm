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ExcelFunctions\"/>
    </mc:Choice>
  </mc:AlternateContent>
  <bookViews>
    <workbookView xWindow="16980" yWindow="150" windowWidth="25350" windowHeight="12705"/>
  </bookViews>
  <sheets>
    <sheet name="Start" sheetId="1" r:id="rId1"/>
    <sheet name="Samples" sheetId="6" r:id="rId2"/>
  </sheets>
  <functionGroups builtInGroupCount="18"/>
  <definedNames>
    <definedName name="_xlnm.Print_Area" localSheetId="1">Samples!$B$2:$D$32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 calcCompleted="0"/>
</workbook>
</file>

<file path=xl/calcChain.xml><?xml version="1.0" encoding="utf-8"?>
<calcChain xmlns="http://schemas.openxmlformats.org/spreadsheetml/2006/main">
  <c r="B6" i="6" l="1"/>
  <c r="B13" i="1"/>
  <c r="B11" i="1"/>
  <c r="B12" i="1"/>
  <c r="B15" i="1"/>
  <c r="B2" i="6"/>
  <c r="C4" i="6"/>
  <c r="D11" i="6"/>
  <c r="D7" i="6"/>
  <c r="D27" i="6"/>
  <c r="C8" i="6"/>
  <c r="C7" i="6"/>
  <c r="C14" i="6"/>
  <c r="B26" i="6"/>
  <c r="C16" i="6"/>
  <c r="C29" i="6"/>
  <c r="D8" i="6"/>
  <c r="B11" i="6"/>
  <c r="C18" i="6"/>
  <c r="D4" i="6"/>
  <c r="D12" i="6"/>
  <c r="D15" i="6"/>
  <c r="D28" i="6"/>
  <c r="B9" i="6"/>
  <c r="B8" i="6"/>
  <c r="B14" i="6"/>
  <c r="B29" i="6"/>
  <c r="C17" i="6"/>
  <c r="C30" i="6"/>
  <c r="D29" i="6"/>
  <c r="C19" i="6"/>
  <c r="C24" i="6"/>
  <c r="B30" i="6"/>
  <c r="D13" i="6"/>
  <c r="C6" i="6"/>
  <c r="B25" i="6"/>
  <c r="C28" i="6"/>
  <c r="D17" i="6"/>
  <c r="D16" i="6"/>
  <c r="D30" i="6"/>
  <c r="C11" i="6"/>
  <c r="B19" i="6"/>
  <c r="B31" i="6"/>
  <c r="C22" i="6"/>
  <c r="C31" i="6"/>
  <c r="C5" i="6"/>
  <c r="C21" i="6"/>
  <c r="B16" i="6"/>
  <c r="D18" i="6"/>
  <c r="D9" i="6"/>
  <c r="D31" i="6"/>
  <c r="B7" i="6"/>
  <c r="C12" i="6"/>
  <c r="B17" i="6"/>
  <c r="B24" i="6"/>
  <c r="C26" i="6"/>
  <c r="C32" i="6"/>
  <c r="C27" i="6"/>
  <c r="D14" i="6"/>
  <c r="B10" i="6"/>
  <c r="B5" i="6"/>
  <c r="D19" i="6"/>
  <c r="D22" i="6"/>
  <c r="D24" i="6"/>
  <c r="C9" i="6"/>
  <c r="B12" i="6"/>
  <c r="B18" i="6"/>
  <c r="B32" i="6"/>
  <c r="C25" i="6"/>
  <c r="D21" i="6"/>
  <c r="D26" i="6"/>
  <c r="B28" i="6"/>
  <c r="D5" i="6"/>
  <c r="D6" i="6"/>
  <c r="D25" i="6"/>
  <c r="D32" i="6"/>
  <c r="C10" i="6"/>
  <c r="C13" i="6"/>
  <c r="B22" i="6"/>
  <c r="B27" i="6"/>
  <c r="D10" i="6"/>
  <c r="B13" i="6"/>
  <c r="C6" i="1" l="1"/>
</calcChain>
</file>

<file path=xl/sharedStrings.xml><?xml version="1.0" encoding="utf-8"?>
<sst xmlns="http://schemas.openxmlformats.org/spreadsheetml/2006/main" count="58" uniqueCount="55">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</sst>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8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8" fillId="0" borderId="2" xfId="1" applyFont="1" applyBorder="1" applyAlignment="1"/>
    <xf numFmtId="164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8" fillId="0" borderId="3" xfId="1" applyFont="1" applyBorder="1" applyAlignment="1"/>
    <xf numFmtId="164" fontId="18" fillId="0" borderId="8" xfId="1" applyFont="1" applyBorder="1" applyAlignment="1"/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0</xdr:row>
          <xdr:rowOff>95250</xdr:rowOff>
        </xdr:from>
        <xdr:to>
          <xdr:col>1</xdr:col>
          <xdr:colOff>2324100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tabSelected="1" workbookViewId="0">
      <selection activeCell="D16" sqref="D16"/>
    </sheetView>
  </sheetViews>
  <sheetFormatPr baseColWidth="10"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 x14ac:dyDescent="0.25">
      <c r="A1" s="6"/>
    </row>
    <row r="2" spans="1:6" x14ac:dyDescent="0.25">
      <c r="A2" s="19" t="s">
        <v>0</v>
      </c>
    </row>
    <row r="3" spans="1:6" x14ac:dyDescent="0.25">
      <c r="A3" s="19"/>
    </row>
    <row r="4" spans="1:6" x14ac:dyDescent="0.25">
      <c r="A4" s="19"/>
    </row>
    <row r="5" spans="1:6" x14ac:dyDescent="0.25">
      <c r="B5" s="24"/>
      <c r="E5" s="23"/>
    </row>
    <row r="6" spans="1:6" x14ac:dyDescent="0.2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6" x14ac:dyDescent="0.25">
      <c r="A7" s="18" t="s">
        <v>27</v>
      </c>
      <c r="B7" s="20" t="s">
        <v>3</v>
      </c>
    </row>
    <row r="8" spans="1:6" x14ac:dyDescent="0.25">
      <c r="A8" s="18" t="s">
        <v>28</v>
      </c>
      <c r="B8" s="20"/>
    </row>
    <row r="9" spans="1:6" x14ac:dyDescent="0.25">
      <c r="B9" s="26"/>
    </row>
    <row r="10" spans="1:6" x14ac:dyDescent="0.25">
      <c r="B10" s="26"/>
      <c r="C10" t="s">
        <v>30</v>
      </c>
    </row>
    <row r="11" spans="1:6" x14ac:dyDescent="0.25">
      <c r="A11" s="18" t="s">
        <v>21</v>
      </c>
      <c r="B11" s="18" t="str">
        <f>BFileName( B6)</f>
        <v>company-2015.ac2</v>
      </c>
      <c r="C11" t="s">
        <v>26</v>
      </c>
    </row>
    <row r="12" spans="1:6" x14ac:dyDescent="0.25">
      <c r="A12" s="18" t="s">
        <v>22</v>
      </c>
      <c r="B12" s="18" t="str">
        <f>BFileName( B7)</f>
        <v>company-2014.ac2</v>
      </c>
      <c r="C12" t="s">
        <v>54</v>
      </c>
    </row>
    <row r="13" spans="1:6" x14ac:dyDescent="0.25">
      <c r="A13" s="18" t="s">
        <v>29</v>
      </c>
      <c r="B13" s="18" t="str">
        <f>BFileName( B8)</f>
        <v/>
      </c>
    </row>
    <row r="15" spans="1:6" x14ac:dyDescent="0.25">
      <c r="A15" s="18" t="s">
        <v>19</v>
      </c>
      <c r="B15" s="22" t="str">
        <f>BFunctionsVersion()</f>
        <v>2015-10-04</v>
      </c>
      <c r="D15" s="5"/>
    </row>
    <row r="16" spans="1:6" x14ac:dyDescent="0.25">
      <c r="B16" s="18"/>
      <c r="C16" s="22"/>
      <c r="E16" s="12"/>
      <c r="F16" s="12"/>
    </row>
    <row r="17" spans="1:6" s="7" customFormat="1" x14ac:dyDescent="0.25">
      <c r="A17" s="10"/>
      <c r="B17" s="11"/>
      <c r="C17" s="11"/>
      <c r="D17" s="12"/>
      <c r="E17" s="12"/>
      <c r="F17" s="12"/>
    </row>
    <row r="18" spans="1:6" s="7" customFormat="1" ht="18" x14ac:dyDescent="0.25">
      <c r="A18" s="29" t="s">
        <v>23</v>
      </c>
      <c r="B18" s="11"/>
      <c r="C18" s="11"/>
      <c r="D18" s="12"/>
      <c r="E18" s="12"/>
      <c r="F18" s="12"/>
    </row>
    <row r="19" spans="1:6" s="7" customFormat="1" ht="15.75" x14ac:dyDescent="0.25">
      <c r="A19" s="27" t="s">
        <v>1</v>
      </c>
      <c r="B19" s="11"/>
      <c r="C19" s="11"/>
      <c r="D19" s="12"/>
      <c r="E19" s="12"/>
      <c r="F19" s="12"/>
    </row>
    <row r="20" spans="1:6" s="7" customFormat="1" x14ac:dyDescent="0.25">
      <c r="A20" t="s">
        <v>24</v>
      </c>
      <c r="B20" s="11"/>
      <c r="C20" s="11"/>
      <c r="D20" s="12"/>
      <c r="E20" s="12"/>
      <c r="F20" s="12"/>
    </row>
    <row r="21" spans="1:6" s="7" customFormat="1" x14ac:dyDescent="0.25">
      <c r="A21" t="s">
        <v>14</v>
      </c>
      <c r="B21" s="11"/>
      <c r="C21" s="11"/>
      <c r="D21" s="12"/>
      <c r="E21" s="12"/>
      <c r="F21" s="12"/>
    </row>
    <row r="22" spans="1:6" s="7" customFormat="1" x14ac:dyDescent="0.25">
      <c r="A22" t="s">
        <v>16</v>
      </c>
      <c r="B22" s="11"/>
      <c r="C22" s="11"/>
      <c r="D22" s="12"/>
      <c r="E22" s="12"/>
      <c r="F22" s="12"/>
    </row>
    <row r="23" spans="1:6" s="7" customFormat="1" x14ac:dyDescent="0.25">
      <c r="A23" s="26"/>
      <c r="B23" s="11"/>
      <c r="C23" s="11"/>
      <c r="D23" s="12"/>
      <c r="E23" s="12"/>
      <c r="F23" s="12"/>
    </row>
    <row r="24" spans="1:6" s="7" customFormat="1" x14ac:dyDescent="0.25">
      <c r="A24"/>
      <c r="B24" s="13"/>
      <c r="C24" s="13"/>
      <c r="D24" s="12"/>
      <c r="E24" s="12"/>
      <c r="F24" s="12"/>
    </row>
    <row r="25" spans="1:6" s="7" customFormat="1" ht="18.75" x14ac:dyDescent="0.3">
      <c r="A25" s="30" t="s">
        <v>15</v>
      </c>
      <c r="B25" s="11"/>
      <c r="C25" s="11"/>
      <c r="D25" s="12"/>
      <c r="E25" s="12"/>
      <c r="F25" s="12"/>
    </row>
    <row r="26" spans="1:6" s="7" customFormat="1" x14ac:dyDescent="0.25">
      <c r="A26" s="31" t="s">
        <v>31</v>
      </c>
      <c r="B26" s="11"/>
      <c r="C26" s="11"/>
      <c r="D26" s="12"/>
      <c r="E26" s="12"/>
      <c r="F26" s="12"/>
    </row>
    <row r="27" spans="1:6" s="7" customFormat="1" x14ac:dyDescent="0.25">
      <c r="A27" s="22" t="s">
        <v>4</v>
      </c>
      <c r="B27" s="11"/>
      <c r="C27" s="11"/>
      <c r="D27" s="12"/>
      <c r="E27" s="12"/>
      <c r="F27" s="12"/>
    </row>
    <row r="28" spans="1:6" x14ac:dyDescent="0.25">
      <c r="A28" s="22" t="s">
        <v>5</v>
      </c>
      <c r="B28" s="13"/>
      <c r="C28" s="13"/>
      <c r="D28" s="14"/>
      <c r="E28" s="14"/>
      <c r="F28" s="14"/>
    </row>
    <row r="29" spans="1:6" x14ac:dyDescent="0.25">
      <c r="A29" s="22" t="s">
        <v>6</v>
      </c>
      <c r="B29" s="11"/>
      <c r="C29" s="11"/>
      <c r="D29" s="14"/>
      <c r="E29" s="14"/>
      <c r="F29" s="14"/>
    </row>
    <row r="30" spans="1:6" x14ac:dyDescent="0.25">
      <c r="A30" s="22" t="s">
        <v>7</v>
      </c>
      <c r="B30" s="11"/>
      <c r="C30" s="11"/>
      <c r="D30" s="14"/>
      <c r="E30" s="14"/>
      <c r="F30" s="14"/>
    </row>
    <row r="31" spans="1:6" x14ac:dyDescent="0.25">
      <c r="A31" s="22" t="s">
        <v>4</v>
      </c>
      <c r="B31" s="11"/>
      <c r="C31" s="11"/>
      <c r="D31" s="14"/>
      <c r="E31" s="14"/>
      <c r="F31" s="14"/>
    </row>
    <row r="32" spans="1:6" x14ac:dyDescent="0.25">
      <c r="A32" s="25" t="s">
        <v>8</v>
      </c>
      <c r="B32" s="13"/>
      <c r="C32" s="13"/>
      <c r="D32" s="14"/>
      <c r="E32" s="14"/>
      <c r="F32" s="14"/>
    </row>
    <row r="33" spans="1:6" x14ac:dyDescent="0.25">
      <c r="A33" s="22" t="s">
        <v>4</v>
      </c>
      <c r="B33" s="11"/>
      <c r="C33" s="11"/>
      <c r="D33" s="12"/>
      <c r="E33" s="12"/>
      <c r="F33" s="12"/>
    </row>
    <row r="34" spans="1:6" x14ac:dyDescent="0.25">
      <c r="A34" s="22" t="s">
        <v>9</v>
      </c>
      <c r="B34" s="11"/>
      <c r="C34" s="11"/>
      <c r="D34" s="12"/>
      <c r="E34" s="12"/>
      <c r="F34" s="12"/>
    </row>
    <row r="35" spans="1:6" x14ac:dyDescent="0.25">
      <c r="A35" s="22" t="s">
        <v>10</v>
      </c>
      <c r="B35" s="11"/>
      <c r="C35" s="11"/>
      <c r="D35" s="12"/>
      <c r="E35" s="12"/>
      <c r="F35" s="12"/>
    </row>
    <row r="36" spans="1:6" x14ac:dyDescent="0.25">
      <c r="A36" s="22" t="s">
        <v>11</v>
      </c>
      <c r="B36" s="17"/>
      <c r="C36" s="17"/>
      <c r="D36" s="9"/>
      <c r="E36" s="9"/>
      <c r="F36" s="9"/>
    </row>
    <row r="37" spans="1:6" x14ac:dyDescent="0.25">
      <c r="A37" s="22" t="s">
        <v>12</v>
      </c>
      <c r="B37" s="11"/>
      <c r="C37" s="11"/>
      <c r="D37" s="12"/>
      <c r="E37" s="12"/>
      <c r="F37" s="12"/>
    </row>
    <row r="38" spans="1:6" x14ac:dyDescent="0.25">
      <c r="A38" s="22" t="s">
        <v>13</v>
      </c>
      <c r="B38" s="11"/>
      <c r="C38" s="11"/>
      <c r="D38" s="12"/>
      <c r="E38" s="12"/>
      <c r="F38" s="12"/>
    </row>
    <row r="39" spans="1:6" x14ac:dyDescent="0.25">
      <c r="A39" s="8"/>
      <c r="B39" s="17"/>
      <c r="C39" s="17"/>
      <c r="D39" s="9"/>
      <c r="E39" s="9"/>
      <c r="F39" s="9"/>
    </row>
    <row r="40" spans="1:6" x14ac:dyDescent="0.25">
      <c r="A40" s="10"/>
      <c r="B40" s="11"/>
      <c r="C40" s="11"/>
      <c r="D40" s="12"/>
      <c r="E40" s="12"/>
      <c r="F40" s="12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3"/>
      <c r="C42" s="13"/>
      <c r="D42" s="12"/>
      <c r="E42" s="12"/>
      <c r="F42" s="12"/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1"/>
      <c r="B45" s="13"/>
      <c r="C45" s="13"/>
      <c r="D45" s="9"/>
      <c r="E45" s="9"/>
      <c r="F45" s="9"/>
    </row>
    <row r="46" spans="1:6" x14ac:dyDescent="0.25">
      <c r="A46" s="11"/>
      <c r="B46" s="8"/>
      <c r="C46" s="8"/>
      <c r="D46" s="9"/>
      <c r="E46" s="9"/>
      <c r="F46" s="9"/>
    </row>
    <row r="47" spans="1:6" x14ac:dyDescent="0.25">
      <c r="A47" s="13"/>
      <c r="B47" s="8"/>
      <c r="C47" s="8"/>
      <c r="D47" s="9"/>
      <c r="E47" s="9"/>
      <c r="F47" s="9"/>
    </row>
    <row r="48" spans="1:6" x14ac:dyDescent="0.25">
      <c r="A48" s="8"/>
      <c r="B48" s="15"/>
      <c r="C48" s="15"/>
      <c r="D48" s="9"/>
      <c r="E48" s="9"/>
      <c r="F48" s="9"/>
    </row>
    <row r="49" spans="1:6" x14ac:dyDescent="0.25">
      <c r="A49" s="16"/>
      <c r="B49" s="9"/>
      <c r="C49" s="9"/>
      <c r="D49" s="9"/>
      <c r="E49" s="9"/>
      <c r="F49" s="9"/>
    </row>
    <row r="50" spans="1:6" x14ac:dyDescent="0.25">
      <c r="A50" s="1"/>
    </row>
    <row r="51" spans="1:6" x14ac:dyDescent="0.25">
      <c r="A51" s="1"/>
      <c r="B51" s="13"/>
      <c r="C51" s="1"/>
    </row>
    <row r="52" spans="1:6" x14ac:dyDescent="0.25"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A58" s="1"/>
      <c r="B58" s="1"/>
      <c r="C58" s="1"/>
    </row>
    <row r="59" spans="1:6" x14ac:dyDescent="0.25">
      <c r="A59" s="2"/>
      <c r="B59" s="1"/>
      <c r="C59" s="1"/>
    </row>
    <row r="60" spans="1:6" x14ac:dyDescent="0.25">
      <c r="A60" s="1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3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866775</xdr:colOff>
                    <xdr:row>0</xdr:row>
                    <xdr:rowOff>95250</xdr:rowOff>
                  </from>
                  <to>
                    <xdr:col>1</xdr:col>
                    <xdr:colOff>2324100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 x14ac:dyDescent="0.25">
      <c r="B2" s="34" t="str">
        <f ca="1">BInfo( File0,"Base","HeaderLeft")</f>
        <v>Sibex Ltd</v>
      </c>
      <c r="C2" s="28"/>
    </row>
    <row r="3" spans="1:4" ht="18" x14ac:dyDescent="0.25">
      <c r="B3" s="34"/>
      <c r="C3" s="28"/>
    </row>
    <row r="4" spans="1:4" x14ac:dyDescent="0.25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 x14ac:dyDescent="0.25">
      <c r="A5" s="10" t="s">
        <v>32</v>
      </c>
      <c r="B5" s="35" t="str">
        <f t="shared" ref="B5:B14" ca="1" si="0">BAccountDescription(File0,A5)</f>
        <v>Cash</v>
      </c>
      <c r="C5" s="36">
        <f t="shared" ref="C5:C14" ca="1" si="1">BAmount(File0,$A5)</f>
        <v>17738</v>
      </c>
      <c r="D5" s="37">
        <f t="shared" ref="D5:D19" ca="1" si="2">BAmount(File1,$A5)</f>
        <v>19070</v>
      </c>
    </row>
    <row r="6" spans="1:4" x14ac:dyDescent="0.25">
      <c r="A6" s="10" t="s">
        <v>34</v>
      </c>
      <c r="B6" s="35" t="str">
        <f t="shared" ca="1" si="0"/>
        <v>Accounts Receivable</v>
      </c>
      <c r="C6" s="36">
        <f t="shared" ca="1" si="1"/>
        <v>10000</v>
      </c>
      <c r="D6" s="37">
        <f t="shared" ca="1" si="2"/>
        <v>10000</v>
      </c>
    </row>
    <row r="7" spans="1:4" s="7" customFormat="1" x14ac:dyDescent="0.25">
      <c r="A7" s="10" t="s">
        <v>35</v>
      </c>
      <c r="B7" s="35" t="str">
        <f t="shared" ca="1" si="0"/>
        <v>Inventory</v>
      </c>
      <c r="C7" s="36">
        <f t="shared" ca="1" si="1"/>
        <v>7000</v>
      </c>
      <c r="D7" s="37">
        <f t="shared" ca="1" si="2"/>
        <v>7000</v>
      </c>
    </row>
    <row r="8" spans="1:4" s="7" customFormat="1" x14ac:dyDescent="0.25">
      <c r="A8" s="10" t="s">
        <v>36</v>
      </c>
      <c r="B8" s="35" t="str">
        <f t="shared" ca="1" si="0"/>
        <v>Prepaid Expenses</v>
      </c>
      <c r="C8" s="36">
        <f t="shared" ca="1" si="1"/>
        <v>0</v>
      </c>
      <c r="D8" s="37">
        <f t="shared" ca="1" si="2"/>
        <v>0</v>
      </c>
    </row>
    <row r="9" spans="1:4" s="7" customFormat="1" x14ac:dyDescent="0.25">
      <c r="A9" s="10" t="s">
        <v>37</v>
      </c>
      <c r="B9" s="38" t="str">
        <f t="shared" ca="1" si="0"/>
        <v>Current Assets</v>
      </c>
      <c r="C9" s="39">
        <f t="shared" ca="1" si="1"/>
        <v>34738</v>
      </c>
      <c r="D9" s="37">
        <f t="shared" ca="1" si="2"/>
        <v>36070</v>
      </c>
    </row>
    <row r="10" spans="1:4" s="7" customFormat="1" x14ac:dyDescent="0.25">
      <c r="A10" s="10" t="s">
        <v>38</v>
      </c>
      <c r="B10" s="35" t="str">
        <f t="shared" ca="1" si="0"/>
        <v>Equipment</v>
      </c>
      <c r="C10" s="36">
        <f t="shared" ca="1" si="1"/>
        <v>35000</v>
      </c>
      <c r="D10" s="37">
        <f t="shared" ca="1" si="2"/>
        <v>35000</v>
      </c>
    </row>
    <row r="11" spans="1:4" s="7" customFormat="1" x14ac:dyDescent="0.25">
      <c r="A11" s="10" t="s">
        <v>39</v>
      </c>
      <c r="B11" s="35" t="str">
        <f t="shared" ca="1" si="0"/>
        <v>Real Estate</v>
      </c>
      <c r="C11" s="36">
        <f t="shared" ca="1" si="1"/>
        <v>100000</v>
      </c>
      <c r="D11" s="37">
        <f t="shared" ca="1" si="2"/>
        <v>100000</v>
      </c>
    </row>
    <row r="12" spans="1:4" s="7" customFormat="1" x14ac:dyDescent="0.25">
      <c r="A12" s="10" t="s">
        <v>38</v>
      </c>
      <c r="B12" s="35" t="str">
        <f t="shared" ca="1" si="0"/>
        <v>Equipment</v>
      </c>
      <c r="C12" s="36">
        <f t="shared" ca="1" si="1"/>
        <v>35000</v>
      </c>
      <c r="D12" s="37">
        <f t="shared" ca="1" si="2"/>
        <v>35000</v>
      </c>
    </row>
    <row r="13" spans="1:4" s="7" customFormat="1" x14ac:dyDescent="0.25">
      <c r="A13" s="10" t="s">
        <v>41</v>
      </c>
      <c r="B13" s="38" t="str">
        <f t="shared" ca="1" si="0"/>
        <v>Fixed Assets</v>
      </c>
      <c r="C13" s="39">
        <f t="shared" ca="1" si="1"/>
        <v>135000</v>
      </c>
      <c r="D13" s="37">
        <f t="shared" ca="1" si="2"/>
        <v>135000</v>
      </c>
    </row>
    <row r="14" spans="1:4" s="7" customFormat="1" x14ac:dyDescent="0.25">
      <c r="A14" s="10" t="s">
        <v>40</v>
      </c>
      <c r="B14" s="46" t="str">
        <f t="shared" ca="1" si="0"/>
        <v>Total ASSETS</v>
      </c>
      <c r="C14" s="47">
        <f t="shared" ca="1" si="1"/>
        <v>169738</v>
      </c>
      <c r="D14" s="32">
        <f t="shared" ca="1" si="2"/>
        <v>171070</v>
      </c>
    </row>
    <row r="15" spans="1:4" x14ac:dyDescent="0.25">
      <c r="A15" s="11"/>
      <c r="B15" s="38"/>
      <c r="C15" s="40"/>
      <c r="D15" s="37">
        <f t="shared" ca="1" si="2"/>
        <v>0</v>
      </c>
    </row>
    <row r="16" spans="1:4" x14ac:dyDescent="0.25">
      <c r="A16" s="11" t="s">
        <v>42</v>
      </c>
      <c r="B16" s="35" t="str">
        <f ca="1">BAccountDescription(File0,A16)</f>
        <v>Current Liabilities</v>
      </c>
      <c r="C16" s="40">
        <f ca="1">BAmount(File0,$A16)</f>
        <v>4124</v>
      </c>
      <c r="D16" s="37">
        <f t="shared" ca="1" si="2"/>
        <v>1551</v>
      </c>
    </row>
    <row r="17" spans="1:4" x14ac:dyDescent="0.25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2"/>
        <v>80000</v>
      </c>
    </row>
    <row r="18" spans="1:4" x14ac:dyDescent="0.25">
      <c r="A18" s="10" t="s">
        <v>44</v>
      </c>
      <c r="B18" s="35" t="str">
        <f ca="1">BAccountDescription(File0,A18)</f>
        <v>Shareholders' Equity</v>
      </c>
      <c r="C18" s="36">
        <f ca="1">BAmount(File0,$A18)</f>
        <v>85613</v>
      </c>
      <c r="D18" s="37">
        <f t="shared" ca="1" si="2"/>
        <v>89518</v>
      </c>
    </row>
    <row r="19" spans="1:4" x14ac:dyDescent="0.25">
      <c r="A19" s="10" t="s">
        <v>45</v>
      </c>
      <c r="B19" s="46" t="str">
        <f ca="1">BAccountDescription(File0,A19)</f>
        <v>Total LIABILITIES</v>
      </c>
      <c r="C19" s="47">
        <f ca="1">BAmount(File0,$A19)</f>
        <v>169738</v>
      </c>
      <c r="D19" s="32">
        <f t="shared" ca="1" si="2"/>
        <v>171070</v>
      </c>
    </row>
    <row r="20" spans="1:4" x14ac:dyDescent="0.25">
      <c r="A20" s="10"/>
      <c r="B20" s="11"/>
      <c r="C20" s="12"/>
    </row>
    <row r="21" spans="1:4" x14ac:dyDescent="0.25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 x14ac:dyDescent="0.25">
      <c r="A22" s="11" t="s">
        <v>18</v>
      </c>
      <c r="B22" s="46" t="str">
        <f ca="1">BAccountDescription(File0,A22)</f>
        <v>Total INCOME</v>
      </c>
      <c r="C22" s="47">
        <f ca="1">BAmount(File0,$A22)</f>
        <v>8454</v>
      </c>
      <c r="D22" s="51">
        <f ca="1">BAmount(File1,$A22)</f>
        <v>9545</v>
      </c>
    </row>
    <row r="23" spans="1:4" x14ac:dyDescent="0.25">
      <c r="A23" s="10"/>
      <c r="B23" s="35"/>
      <c r="C23" s="36"/>
      <c r="D23" s="49"/>
    </row>
    <row r="24" spans="1:4" x14ac:dyDescent="0.25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</v>
      </c>
      <c r="D24" s="51">
        <f t="shared" ref="D24:D32" ca="1" si="5">BAmount(File1,$A24)</f>
        <v>3636</v>
      </c>
    </row>
    <row r="25" spans="1:4" x14ac:dyDescent="0.25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 x14ac:dyDescent="0.25">
      <c r="A26" s="11" t="s">
        <v>49</v>
      </c>
      <c r="B26" s="35" t="str">
        <f t="shared" ca="1" si="3"/>
        <v>General And Administrative</v>
      </c>
      <c r="C26" s="36">
        <f t="shared" ca="1" si="4"/>
        <v>3540</v>
      </c>
      <c r="D26" s="37">
        <f t="shared" ca="1" si="5"/>
        <v>3390</v>
      </c>
    </row>
    <row r="27" spans="1:4" x14ac:dyDescent="0.25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 x14ac:dyDescent="0.25">
      <c r="A28" s="11" t="s">
        <v>51</v>
      </c>
      <c r="B28" s="46" t="str">
        <f t="shared" ca="1" si="3"/>
        <v>Operating Expenses</v>
      </c>
      <c r="C28" s="47">
        <f t="shared" ca="1" si="4"/>
        <v>3540</v>
      </c>
      <c r="D28" s="51">
        <f t="shared" ca="1" si="5"/>
        <v>3390</v>
      </c>
    </row>
    <row r="29" spans="1:4" x14ac:dyDescent="0.25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 x14ac:dyDescent="0.25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 x14ac:dyDescent="0.25">
      <c r="A31" s="11" t="s">
        <v>17</v>
      </c>
      <c r="B31" s="46" t="str">
        <f t="shared" ca="1" si="3"/>
        <v>Total EXPENSES</v>
      </c>
      <c r="C31" s="47">
        <f t="shared" ca="1" si="4"/>
        <v>8359</v>
      </c>
      <c r="D31" s="51">
        <f t="shared" ca="1" si="5"/>
        <v>7027</v>
      </c>
    </row>
    <row r="32" spans="1:4" x14ac:dyDescent="0.25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95</v>
      </c>
      <c r="D32" s="52">
        <f t="shared" ca="1" si="5"/>
        <v>2518</v>
      </c>
    </row>
    <row r="33" spans="1:4" x14ac:dyDescent="0.25">
      <c r="A33" s="10"/>
      <c r="B33" s="13"/>
      <c r="C33" s="33"/>
      <c r="D33" s="18"/>
    </row>
    <row r="34" spans="1:4" x14ac:dyDescent="0.25">
      <c r="A34" s="10"/>
      <c r="B34" s="13"/>
      <c r="C34" s="12"/>
    </row>
    <row r="35" spans="1:4" x14ac:dyDescent="0.25">
      <c r="A35" s="10"/>
      <c r="B35" s="11"/>
      <c r="C35" s="12"/>
    </row>
    <row r="36" spans="1:4" x14ac:dyDescent="0.25">
      <c r="A36" s="10"/>
      <c r="B36" s="11"/>
      <c r="C36" s="12"/>
    </row>
    <row r="37" spans="1:4" x14ac:dyDescent="0.25">
      <c r="A37" s="10"/>
      <c r="B37" s="11"/>
      <c r="C37" s="12"/>
    </row>
    <row r="38" spans="1:4" x14ac:dyDescent="0.25">
      <c r="A38" s="11"/>
      <c r="B38" s="13"/>
      <c r="C38" s="9"/>
    </row>
    <row r="39" spans="1:4" x14ac:dyDescent="0.25">
      <c r="A39" s="11"/>
      <c r="B39" s="8"/>
      <c r="C39" s="9"/>
    </row>
    <row r="40" spans="1:4" x14ac:dyDescent="0.25">
      <c r="A40" s="13"/>
      <c r="B40" s="8"/>
      <c r="C40" s="9"/>
    </row>
    <row r="41" spans="1:4" x14ac:dyDescent="0.25">
      <c r="A41" s="8"/>
      <c r="B41" s="15"/>
      <c r="C41" s="9"/>
    </row>
    <row r="42" spans="1:4" x14ac:dyDescent="0.25">
      <c r="A42" s="16"/>
      <c r="B42" s="9"/>
      <c r="C42" s="9"/>
    </row>
    <row r="43" spans="1:4" x14ac:dyDescent="0.25">
      <c r="A43" s="1"/>
    </row>
    <row r="44" spans="1:4" x14ac:dyDescent="0.25">
      <c r="A44" s="1"/>
      <c r="B44" s="13"/>
    </row>
    <row r="45" spans="1:4" x14ac:dyDescent="0.25">
      <c r="A45" s="18"/>
    </row>
    <row r="46" spans="1:4" x14ac:dyDescent="0.25">
      <c r="A46" s="18"/>
    </row>
    <row r="47" spans="1:4" x14ac:dyDescent="0.25">
      <c r="A47" s="22"/>
    </row>
    <row r="48" spans="1:4" x14ac:dyDescent="0.25">
      <c r="A48" s="21"/>
    </row>
    <row r="49" spans="1:2" x14ac:dyDescent="0.25">
      <c r="A49" s="21"/>
    </row>
    <row r="50" spans="1:2" x14ac:dyDescent="0.25">
      <c r="A50" s="21"/>
    </row>
    <row r="51" spans="1:2" x14ac:dyDescent="0.25">
      <c r="A51" s="21"/>
    </row>
    <row r="52" spans="1:2" x14ac:dyDescent="0.25">
      <c r="A52" s="21"/>
    </row>
    <row r="53" spans="1:2" x14ac:dyDescent="0.25">
      <c r="A53" s="21"/>
    </row>
    <row r="54" spans="1:2" x14ac:dyDescent="0.25">
      <c r="A54" s="21"/>
    </row>
    <row r="55" spans="1:2" x14ac:dyDescent="0.25">
      <c r="A55" s="21"/>
    </row>
    <row r="56" spans="1:2" x14ac:dyDescent="0.25">
      <c r="A56" s="21"/>
    </row>
    <row r="57" spans="1:2" x14ac:dyDescent="0.25">
      <c r="A57" s="21"/>
    </row>
    <row r="58" spans="1:2" x14ac:dyDescent="0.25">
      <c r="A58" s="2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3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3"/>
      <c r="B65" s="1"/>
    </row>
    <row r="66" spans="1:2" x14ac:dyDescent="0.25">
      <c r="A66" s="4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2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4"/>
      <c r="B74" s="1"/>
    </row>
    <row r="75" spans="1:2" x14ac:dyDescent="0.25">
      <c r="A75" s="2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Start</vt:lpstr>
      <vt:lpstr>Samples</vt:lpstr>
      <vt:lpstr>Samples!Druckbereich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2015-10-04T12:42:48Z</cp:lastPrinted>
  <dcterms:created xsi:type="dcterms:W3CDTF">2014-07-24T08:59:22Z</dcterms:created>
  <dcterms:modified xsi:type="dcterms:W3CDTF">2015-10-06T10:37:46Z</dcterms:modified>
</cp:coreProperties>
</file>