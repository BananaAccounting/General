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ExcelFunctions\Test\"/>
    </mc:Choice>
  </mc:AlternateContent>
  <bookViews>
    <workbookView xWindow="19200" yWindow="150" windowWidth="25350" windowHeight="12705" activeTab="1"/>
  </bookViews>
  <sheets>
    <sheet name="Start" sheetId="1" r:id="rId1"/>
    <sheet name="Samples" sheetId="6" r:id="rId2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I9" i="6" l="1"/>
  <c r="I136" i="6"/>
  <c r="H136" i="6"/>
  <c r="I135" i="6"/>
  <c r="H135" i="6"/>
  <c r="I132" i="6"/>
  <c r="H132" i="6"/>
  <c r="I131" i="6"/>
  <c r="H131" i="6"/>
  <c r="I128" i="6"/>
  <c r="H128" i="6"/>
  <c r="I127" i="6"/>
  <c r="H127" i="6"/>
  <c r="I126" i="6"/>
  <c r="H126" i="6"/>
  <c r="I125" i="6"/>
  <c r="H125" i="6"/>
  <c r="I121" i="6"/>
  <c r="H121" i="6"/>
  <c r="I117" i="6"/>
  <c r="H117" i="6"/>
  <c r="I116" i="6"/>
  <c r="H116" i="6"/>
  <c r="I112" i="6"/>
  <c r="H112" i="6"/>
  <c r="I108" i="6"/>
  <c r="H108" i="6"/>
  <c r="I104" i="6"/>
  <c r="H104" i="6"/>
  <c r="I103" i="6"/>
  <c r="H103" i="6"/>
  <c r="I99" i="6"/>
  <c r="H99" i="6"/>
  <c r="I95" i="6"/>
  <c r="H95" i="6"/>
  <c r="I91" i="6"/>
  <c r="H91" i="6"/>
  <c r="I87" i="6"/>
  <c r="H87" i="6"/>
  <c r="I83" i="6"/>
  <c r="H83" i="6"/>
  <c r="I79" i="6"/>
  <c r="H79" i="6"/>
  <c r="I75" i="6"/>
  <c r="H75" i="6"/>
  <c r="I74" i="6"/>
  <c r="H74" i="6"/>
  <c r="I73" i="6"/>
  <c r="H73" i="6"/>
  <c r="I69" i="6"/>
  <c r="H69" i="6"/>
  <c r="I68" i="6"/>
  <c r="H68" i="6"/>
  <c r="I64" i="6"/>
  <c r="H64" i="6"/>
  <c r="I60" i="6"/>
  <c r="H60" i="6"/>
  <c r="I59" i="6"/>
  <c r="H59" i="6"/>
  <c r="I55" i="6"/>
  <c r="H55" i="6"/>
  <c r="I51" i="6"/>
  <c r="H51" i="6"/>
  <c r="I47" i="6"/>
  <c r="H47" i="6"/>
  <c r="I46" i="6"/>
  <c r="H46" i="6"/>
  <c r="I21" i="6"/>
  <c r="I17" i="6"/>
  <c r="E9" i="6"/>
  <c r="A147" i="6" l="1"/>
  <c r="A148" i="6" s="1"/>
  <c r="A149" i="6" s="1"/>
  <c r="A150" i="6" s="1"/>
  <c r="A151" i="6" s="1"/>
  <c r="A152" i="6" s="1"/>
  <c r="A153" i="6" s="1"/>
  <c r="A154" i="6" s="1"/>
  <c r="A155" i="6" s="1"/>
  <c r="A156" i="6" s="1"/>
  <c r="B155" i="6"/>
  <c r="B154" i="6"/>
  <c r="B146" i="6"/>
  <c r="B143" i="6"/>
  <c r="B3" i="1"/>
  <c r="B150" i="6"/>
  <c r="B156" i="6"/>
  <c r="B148" i="6"/>
  <c r="B152" i="6"/>
  <c r="B149" i="6"/>
  <c r="B147" i="6"/>
  <c r="B153" i="6"/>
  <c r="B151" i="6"/>
  <c r="B12" i="1"/>
  <c r="B13" i="1"/>
  <c r="B11" i="1"/>
  <c r="B36" i="6"/>
  <c r="F67" i="6"/>
  <c r="B119" i="6"/>
  <c r="E122" i="6"/>
  <c r="E82" i="6"/>
  <c r="F7" i="6"/>
  <c r="B141" i="6"/>
  <c r="E11" i="6"/>
  <c r="F13" i="6"/>
  <c r="E20" i="6"/>
  <c r="F22" i="6"/>
  <c r="B26" i="6"/>
  <c r="F28" i="6"/>
  <c r="F30" i="6"/>
  <c r="F36" i="6"/>
  <c r="F40" i="6"/>
  <c r="F48" i="6"/>
  <c r="E53" i="6"/>
  <c r="B57" i="6"/>
  <c r="B61" i="6"/>
  <c r="F62" i="6"/>
  <c r="B66" i="6"/>
  <c r="F70" i="6"/>
  <c r="B113" i="6"/>
  <c r="B80" i="6"/>
  <c r="B78" i="6"/>
  <c r="B85" i="6"/>
  <c r="E138" i="6"/>
  <c r="F113" i="6"/>
  <c r="F96" i="6"/>
  <c r="B18" i="6"/>
  <c r="B7" i="6"/>
  <c r="B19" i="6"/>
  <c r="F111" i="6"/>
  <c r="E123" i="6"/>
  <c r="E114" i="6"/>
  <c r="F98" i="6"/>
  <c r="E115" i="6"/>
  <c r="E81" i="6"/>
  <c r="F81" i="6"/>
  <c r="E96" i="6"/>
  <c r="F80" i="6"/>
  <c r="F134" i="6"/>
  <c r="B111" i="6"/>
  <c r="B114" i="6"/>
  <c r="B120" i="6"/>
  <c r="B109" i="6"/>
  <c r="E72" i="6"/>
  <c r="E67" i="6"/>
  <c r="E63" i="6"/>
  <c r="B56" i="6"/>
  <c r="F54" i="6"/>
  <c r="E52" i="6"/>
  <c r="E22" i="6"/>
  <c r="E40" i="6"/>
  <c r="F34" i="6"/>
  <c r="F32" i="6"/>
  <c r="F26" i="6"/>
  <c r="F45" i="6"/>
  <c r="E45" i="6"/>
  <c r="B24" i="6"/>
  <c r="F11" i="6"/>
  <c r="E120" i="6"/>
  <c r="F92" i="6"/>
  <c r="F123" i="6"/>
  <c r="E102" i="6"/>
  <c r="F101" i="6"/>
  <c r="F72" i="6"/>
  <c r="B53" i="6"/>
  <c r="B28" i="6"/>
  <c r="B6" i="6"/>
  <c r="F78" i="6"/>
  <c r="F106" i="6"/>
  <c r="E118" i="6"/>
  <c r="E92" i="6"/>
  <c r="F93" i="6"/>
  <c r="E110" i="6"/>
  <c r="F120" i="6"/>
  <c r="F107" i="6"/>
  <c r="E90" i="6"/>
  <c r="F139" i="6"/>
  <c r="F129" i="6"/>
  <c r="B89" i="6"/>
  <c r="B97" i="6"/>
  <c r="B98" i="6"/>
  <c r="B92" i="6"/>
  <c r="F71" i="6"/>
  <c r="F66" i="6"/>
  <c r="E62" i="6"/>
  <c r="E58" i="6"/>
  <c r="B52" i="6"/>
  <c r="F50" i="6"/>
  <c r="B49" i="6"/>
  <c r="B40" i="6"/>
  <c r="E34" i="6"/>
  <c r="E32" i="6"/>
  <c r="E26" i="6"/>
  <c r="F44" i="6"/>
  <c r="E43" i="6"/>
  <c r="B23" i="6"/>
  <c r="E15" i="6"/>
  <c r="B140" i="6"/>
  <c r="F110" i="6"/>
  <c r="B20" i="6"/>
  <c r="F86" i="6"/>
  <c r="B76" i="6"/>
  <c r="B50" i="6"/>
  <c r="E134" i="6"/>
  <c r="B5" i="6"/>
  <c r="F118" i="6"/>
  <c r="F100" i="6"/>
  <c r="E111" i="6"/>
  <c r="F119" i="6"/>
  <c r="F88" i="6"/>
  <c r="E105" i="6"/>
  <c r="F114" i="6"/>
  <c r="F85" i="6"/>
  <c r="E85" i="6"/>
  <c r="F137" i="6"/>
  <c r="F130" i="6"/>
  <c r="B88" i="6"/>
  <c r="B86" i="6"/>
  <c r="B118" i="6"/>
  <c r="B81" i="6"/>
  <c r="E71" i="6"/>
  <c r="E66" i="6"/>
  <c r="E61" i="6"/>
  <c r="B58" i="6"/>
  <c r="E54" i="6"/>
  <c r="E50" i="6"/>
  <c r="B48" i="6"/>
  <c r="F38" i="6"/>
  <c r="B34" i="6"/>
  <c r="B30" i="6"/>
  <c r="E28" i="6"/>
  <c r="F43" i="6"/>
  <c r="F19" i="6"/>
  <c r="B22" i="6"/>
  <c r="E12" i="6"/>
  <c r="E133" i="6"/>
  <c r="E78" i="6"/>
  <c r="E107" i="6"/>
  <c r="E84" i="6"/>
  <c r="E101" i="6"/>
  <c r="B123" i="6"/>
  <c r="E56" i="6"/>
  <c r="B31" i="6"/>
  <c r="F10" i="6"/>
  <c r="F5" i="6"/>
  <c r="B45" i="6"/>
  <c r="F76" i="6"/>
  <c r="F94" i="6"/>
  <c r="E106" i="6"/>
  <c r="F90" i="6"/>
  <c r="F82" i="6"/>
  <c r="E98" i="6"/>
  <c r="F109" i="6"/>
  <c r="E124" i="6"/>
  <c r="E80" i="6"/>
  <c r="F138" i="6"/>
  <c r="B115" i="6"/>
  <c r="B107" i="6"/>
  <c r="B124" i="6"/>
  <c r="B106" i="6"/>
  <c r="B77" i="6"/>
  <c r="B70" i="6"/>
  <c r="F65" i="6"/>
  <c r="B63" i="6"/>
  <c r="F57" i="6"/>
  <c r="B54" i="6"/>
  <c r="F49" i="6"/>
  <c r="E39" i="6"/>
  <c r="F39" i="6"/>
  <c r="F35" i="6"/>
  <c r="B32" i="6"/>
  <c r="E27" i="6"/>
  <c r="E24" i="6"/>
  <c r="F20" i="6"/>
  <c r="F14" i="6"/>
  <c r="E13" i="6"/>
  <c r="E129" i="6"/>
  <c r="E76" i="6"/>
  <c r="B122" i="6"/>
  <c r="F58" i="6"/>
  <c r="F23" i="6"/>
  <c r="F6" i="6"/>
  <c r="B44" i="6"/>
  <c r="F77" i="6"/>
  <c r="F89" i="6"/>
  <c r="E100" i="6"/>
  <c r="F122" i="6"/>
  <c r="E97" i="6"/>
  <c r="E93" i="6"/>
  <c r="F102" i="6"/>
  <c r="E119" i="6"/>
  <c r="E109" i="6"/>
  <c r="E139" i="6"/>
  <c r="B105" i="6"/>
  <c r="B93" i="6"/>
  <c r="B110" i="6"/>
  <c r="B94" i="6"/>
  <c r="B71" i="6"/>
  <c r="E70" i="6"/>
  <c r="E65" i="6"/>
  <c r="B62" i="6"/>
  <c r="E57" i="6"/>
  <c r="F53" i="6"/>
  <c r="E49" i="6"/>
  <c r="B39" i="6"/>
  <c r="B35" i="6"/>
  <c r="E35" i="6"/>
  <c r="E30" i="6"/>
  <c r="E44" i="6"/>
  <c r="F24" i="6"/>
  <c r="E18" i="6"/>
  <c r="F15" i="6"/>
  <c r="E14" i="6"/>
  <c r="E89" i="6"/>
  <c r="E6" i="6"/>
  <c r="F105" i="6"/>
  <c r="F133" i="6"/>
  <c r="F63" i="6"/>
  <c r="B38" i="6"/>
  <c r="F27" i="6"/>
  <c r="E19" i="6"/>
  <c r="E5" i="6"/>
  <c r="B43" i="6"/>
  <c r="E77" i="6"/>
  <c r="F84" i="6"/>
  <c r="E94" i="6"/>
  <c r="F115" i="6"/>
  <c r="F124" i="6"/>
  <c r="E88" i="6"/>
  <c r="F97" i="6"/>
  <c r="E113" i="6"/>
  <c r="E86" i="6"/>
  <c r="E137" i="6"/>
  <c r="B96" i="6"/>
  <c r="B82" i="6"/>
  <c r="B90" i="6"/>
  <c r="B84" i="6"/>
  <c r="B72" i="6"/>
  <c r="B67" i="6"/>
  <c r="F61" i="6"/>
  <c r="B65" i="6"/>
  <c r="F56" i="6"/>
  <c r="F52" i="6"/>
  <c r="E48" i="6"/>
  <c r="E38" i="6"/>
  <c r="E36" i="6"/>
  <c r="E31" i="6"/>
  <c r="F31" i="6"/>
  <c r="B27" i="6"/>
  <c r="E23" i="6"/>
  <c r="F18" i="6"/>
  <c r="F12" i="6"/>
  <c r="E10" i="6"/>
  <c r="E130" i="6"/>
  <c r="I5" i="6" l="1"/>
  <c r="H5" i="6"/>
  <c r="I6" i="6"/>
  <c r="H6" i="6"/>
  <c r="H7" i="6"/>
  <c r="I7" i="6"/>
  <c r="I77" i="6"/>
  <c r="H77" i="6"/>
  <c r="I78" i="6"/>
  <c r="H78" i="6"/>
  <c r="I120" i="6"/>
  <c r="H120" i="6"/>
  <c r="I76" i="6"/>
  <c r="H76" i="6"/>
  <c r="I123" i="6"/>
  <c r="H123" i="6"/>
  <c r="I118" i="6"/>
  <c r="H118" i="6"/>
  <c r="I111" i="6"/>
  <c r="H111" i="6"/>
  <c r="I106" i="6"/>
  <c r="H106" i="6"/>
  <c r="I100" i="6"/>
  <c r="H100" i="6"/>
  <c r="I94" i="6"/>
  <c r="H94" i="6"/>
  <c r="I89" i="6"/>
  <c r="H89" i="6"/>
  <c r="I84" i="6"/>
  <c r="H84" i="6"/>
  <c r="I114" i="6"/>
  <c r="H114" i="6"/>
  <c r="I92" i="6"/>
  <c r="H92" i="6"/>
  <c r="I97" i="6"/>
  <c r="H97" i="6"/>
  <c r="I122" i="6"/>
  <c r="H122" i="6"/>
  <c r="I115" i="6"/>
  <c r="H115" i="6"/>
  <c r="I110" i="6"/>
  <c r="H110" i="6"/>
  <c r="I105" i="6"/>
  <c r="H105" i="6"/>
  <c r="I98" i="6"/>
  <c r="H98" i="6"/>
  <c r="I93" i="6"/>
  <c r="H93" i="6"/>
  <c r="H88" i="6"/>
  <c r="I88" i="6"/>
  <c r="I82" i="6"/>
  <c r="H82" i="6"/>
  <c r="I102" i="6"/>
  <c r="H102" i="6"/>
  <c r="I81" i="6"/>
  <c r="H81" i="6"/>
  <c r="I124" i="6"/>
  <c r="H124" i="6"/>
  <c r="I119" i="6"/>
  <c r="H119" i="6"/>
  <c r="I113" i="6"/>
  <c r="H113" i="6"/>
  <c r="I107" i="6"/>
  <c r="H107" i="6"/>
  <c r="I101" i="6"/>
  <c r="H101" i="6"/>
  <c r="I96" i="6"/>
  <c r="H96" i="6"/>
  <c r="I90" i="6"/>
  <c r="H90" i="6"/>
  <c r="I85" i="6"/>
  <c r="H85" i="6"/>
  <c r="I80" i="6"/>
  <c r="H80" i="6"/>
  <c r="I109" i="6"/>
  <c r="H109" i="6"/>
  <c r="I86" i="6"/>
  <c r="H86" i="6"/>
  <c r="I139" i="6"/>
  <c r="H139" i="6"/>
  <c r="I137" i="6"/>
  <c r="H137" i="6"/>
  <c r="I138" i="6"/>
  <c r="H138" i="6"/>
  <c r="I72" i="6"/>
  <c r="H72" i="6"/>
  <c r="I71" i="6"/>
  <c r="H71" i="6"/>
  <c r="I70" i="6"/>
  <c r="H70" i="6"/>
  <c r="I67" i="6"/>
  <c r="H67" i="6"/>
  <c r="I66" i="6"/>
  <c r="H66" i="6"/>
  <c r="I65" i="6"/>
  <c r="H65" i="6"/>
  <c r="I63" i="6"/>
  <c r="H63" i="6"/>
  <c r="I62" i="6"/>
  <c r="H62" i="6"/>
  <c r="I61" i="6"/>
  <c r="H61" i="6"/>
  <c r="I58" i="6"/>
  <c r="H58" i="6"/>
  <c r="I57" i="6"/>
  <c r="H57" i="6"/>
  <c r="I56" i="6"/>
  <c r="H56" i="6"/>
  <c r="I54" i="6"/>
  <c r="H54" i="6"/>
  <c r="I53" i="6"/>
  <c r="H53" i="6"/>
  <c r="H52" i="6"/>
  <c r="I52" i="6"/>
  <c r="I50" i="6"/>
  <c r="H50" i="6"/>
  <c r="I49" i="6"/>
  <c r="H49" i="6"/>
  <c r="I48" i="6"/>
  <c r="H48" i="6"/>
  <c r="I44" i="6"/>
  <c r="H44" i="6"/>
  <c r="I45" i="6"/>
  <c r="H45" i="6"/>
  <c r="I43" i="6"/>
  <c r="H43" i="6"/>
  <c r="I134" i="6"/>
  <c r="H134" i="6"/>
  <c r="I133" i="6"/>
  <c r="H133" i="6"/>
  <c r="I129" i="6"/>
  <c r="H129" i="6"/>
  <c r="I130" i="6"/>
  <c r="H130" i="6"/>
  <c r="H39" i="6"/>
  <c r="I39" i="6"/>
  <c r="I38" i="6"/>
  <c r="H38" i="6"/>
  <c r="I40" i="6"/>
  <c r="H40" i="6"/>
  <c r="H36" i="6"/>
  <c r="I36" i="6"/>
  <c r="I34" i="6"/>
  <c r="H34" i="6"/>
  <c r="H35" i="6"/>
  <c r="I35" i="6"/>
  <c r="H31" i="6"/>
  <c r="I31" i="6"/>
  <c r="I32" i="6"/>
  <c r="H32" i="6"/>
  <c r="I30" i="6"/>
  <c r="H30" i="6"/>
  <c r="I27" i="6"/>
  <c r="H27" i="6"/>
  <c r="I26" i="6"/>
  <c r="H26" i="6"/>
  <c r="I28" i="6"/>
  <c r="H28" i="6"/>
  <c r="I24" i="6"/>
  <c r="I22" i="6"/>
  <c r="I23" i="6"/>
  <c r="I18" i="6"/>
  <c r="I20" i="6"/>
  <c r="I19" i="6"/>
  <c r="I15" i="6"/>
  <c r="I12" i="6"/>
  <c r="I13" i="6"/>
  <c r="I14" i="6"/>
  <c r="I11" i="6"/>
  <c r="I10" i="6"/>
  <c r="H10" i="6"/>
  <c r="H18" i="6"/>
  <c r="H20" i="6"/>
  <c r="H19" i="6"/>
  <c r="H24" i="6"/>
  <c r="H22" i="6"/>
  <c r="H23" i="6"/>
  <c r="H15" i="6"/>
  <c r="H12" i="6"/>
  <c r="H13" i="6"/>
  <c r="H14" i="6"/>
  <c r="H11" i="6"/>
  <c r="C6" i="1"/>
</calcChain>
</file>

<file path=xl/sharedStrings.xml><?xml version="1.0" encoding="utf-8"?>
<sst xmlns="http://schemas.openxmlformats.org/spreadsheetml/2006/main" count="160" uniqueCount="81">
  <si>
    <t>Period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</si>
  <si>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</si>
  <si>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</si>
  <si>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</si>
  <si>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</si>
  <si>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</si>
  <si>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</si>
  <si>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Balance (BBalance)</t>
  </si>
  <si>
    <t>Multiple accounts (separated by |)</t>
  </si>
  <si>
    <t>1000|1010|1011</t>
  </si>
  <si>
    <t>Opening amounts (BOpening)</t>
  </si>
  <si>
    <t>S10</t>
  </si>
  <si>
    <t>File properties (Binfo)</t>
  </si>
  <si>
    <t>M1</t>
  </si>
  <si>
    <t>BTotal</t>
  </si>
  <si>
    <t>BAmount (Debit / Credit..)</t>
  </si>
  <si>
    <t>Current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</si>
  <si>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</si>
  <si>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</si>
  <si>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</si>
  <si>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</si>
  <si>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</si>
  <si>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</si>
  <si>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</si>
  <si>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</si>
  <si>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</si>
  <si>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</si>
  <si>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</si>
  <si>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</si>
  <si>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</si>
  <si>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</si>
  <si>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3. Recalculate spreadsheet  B (Data is not retrieved without full recalculation)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</si>
  <si>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</si>
  <si>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</si>
  <si>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</si>
  <si>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</si>
  <si>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</si>
  <si>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</si>
  <si>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</si>
  <si>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</si>
  <si>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</si>
  <si>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</si>
  <si>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</si>
  <si>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</si>
  <si>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</si>
  <si>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</si>
  <si>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</si>
  <si>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</si>
  <si>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</si>
  <si>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</si>
  <si>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</si>
  <si>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</si>
  <si>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</si>
  <si>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</si>
  <si>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</si>
  <si>
    <t>company-2020.ac2</t>
  </si>
  <si>
    <t>company-2019.ac2</t>
  </si>
  <si>
    <t>BStartPeriod</t>
  </si>
  <si>
    <t>BEndPeriod</t>
  </si>
  <si>
    <t>Differeces</t>
  </si>
  <si>
    <t>Values</t>
  </si>
  <si>
    <t>File function</t>
  </si>
  <si>
    <t>Normal</t>
  </si>
  <si>
    <t>Vat code balance (VatBalance)</t>
  </si>
  <si>
    <t>Budget</t>
  </si>
  <si>
    <t>OHTER</t>
  </si>
  <si>
    <t xml:space="preserve">Cash </t>
  </si>
  <si>
    <t>Total LIABILITIES</t>
  </si>
  <si>
    <t>17570.00</t>
  </si>
  <si>
    <t>-169758.18</t>
  </si>
  <si>
    <t>Sibex Ltd</t>
  </si>
  <si>
    <t>Example of Double-Entry Accounting with VAT</t>
  </si>
  <si>
    <t>Test functions</t>
  </si>
  <si>
    <t>QueryPeriod</t>
  </si>
  <si>
    <t>BCreatePeriod</t>
  </si>
  <si>
    <t>2020-01-01/2020-03-31</t>
  </si>
  <si>
    <t>BAccountDescription</t>
  </si>
  <si>
    <t>Gr=1</t>
  </si>
  <si>
    <t>1000|1001</t>
  </si>
  <si>
    <t>Total ASSETS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</si>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</sst>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  <xf numFmtId="0" fontId="11" fillId="0" borderId="0" xfId="0" quotePrefix="1" applyFont="1"/>
    <xf numFmtId="0" fontId="8" fillId="0" borderId="0" xfId="1" applyNumberFormat="1" applyFont="1" applyAlignment="1"/>
    <xf numFmtId="0" fontId="9" fillId="0" borderId="0" xfId="0" quotePrefix="1" applyFont="1" applyAlignment="1">
      <alignment vertical="center" wrapText="1"/>
    </xf>
    <xf numFmtId="0" fontId="14" fillId="2" borderId="0" xfId="0" applyFont="1" applyFill="1"/>
    <xf numFmtId="14" fontId="7" fillId="0" borderId="0" xfId="0" applyNumberFormat="1" applyFont="1"/>
    <xf numFmtId="43" fontId="7" fillId="0" borderId="0" xfId="1" applyFont="1" applyAlignment="1">
      <alignment vertical="center" wrapText="1"/>
    </xf>
    <xf numFmtId="14" fontId="0" fillId="0" borderId="0" xfId="0" applyNumberFormat="1" applyFont="1"/>
    <xf numFmtId="0" fontId="9" fillId="2" borderId="0" xfId="0" applyFont="1" applyFill="1" applyAlignment="1">
      <alignment vertical="center" wrapText="1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workbookViewId="0">
      <selection activeCell="B16" sqref="B16"/>
    </sheetView>
  </sheetViews>
  <sheetFormatPr baseColWidth="10"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 x14ac:dyDescent="0.25">
      <c r="A1" s="6"/>
    </row>
    <row r="2" spans="1:6" x14ac:dyDescent="0.25">
      <c r="A2" s="19" t="s">
        <v>2</v>
      </c>
      <c r="B2" s="18" t="s">
        <v>36</v>
      </c>
    </row>
    <row r="3" spans="1:6" x14ac:dyDescent="0.25">
      <c r="A3" s="19"/>
      <c r="B3" s="22" t="str">
        <f>BFunctionsVersion()</f>
        <v>2017-02-01</v>
      </c>
    </row>
    <row r="4" spans="1:6" x14ac:dyDescent="0.25">
      <c r="A4" s="19"/>
    </row>
    <row r="5" spans="1:6" x14ac:dyDescent="0.25">
      <c r="B5" s="24"/>
      <c r="E5" s="23"/>
    </row>
    <row r="6" spans="1:6" x14ac:dyDescent="0.25">
      <c r="A6" s="18" t="s">
        <v>42</v>
      </c>
      <c r="B6" s="20" t="s">
        <v>55</v>
      </c>
      <c r="C6" t="str">
        <f ca="1">IF(B11="","Banana not open, file not open or WebServer not active","Banana Connection OK")</f>
        <v>Banana Connection OK</v>
      </c>
    </row>
    <row r="7" spans="1:6" x14ac:dyDescent="0.25">
      <c r="A7" s="18" t="s">
        <v>44</v>
      </c>
      <c r="B7" s="20" t="s">
        <v>56</v>
      </c>
    </row>
    <row r="8" spans="1:6" x14ac:dyDescent="0.25">
      <c r="A8" s="18" t="s">
        <v>45</v>
      </c>
      <c r="B8" s="20"/>
    </row>
    <row r="9" spans="1:6" x14ac:dyDescent="0.25">
      <c r="B9" s="26"/>
    </row>
    <row r="10" spans="1:6" x14ac:dyDescent="0.25">
      <c r="B10" s="26"/>
      <c r="C10" t="s">
        <v>47</v>
      </c>
    </row>
    <row r="11" spans="1:6" x14ac:dyDescent="0.25">
      <c r="A11" s="18" t="s">
        <v>38</v>
      </c>
      <c r="B11" s="18" t="str">
        <f ca="1">BFileName( B6,DisableConnection)</f>
        <v>company-2020.ac2</v>
      </c>
      <c r="C11" t="s">
        <v>43</v>
      </c>
    </row>
    <row r="12" spans="1:6" x14ac:dyDescent="0.25">
      <c r="A12" s="18" t="s">
        <v>39</v>
      </c>
      <c r="B12" s="18" t="str">
        <f ca="1">BFileName( B7,DisableConnection)</f>
        <v>company-2019.ac2</v>
      </c>
      <c r="C12" t="s">
        <v>49</v>
      </c>
    </row>
    <row r="13" spans="1:6" x14ac:dyDescent="0.25">
      <c r="A13" s="18" t="s">
        <v>46</v>
      </c>
      <c r="B13" s="18" t="str">
        <f ca="1">BFileName( B8,DisableConnection)</f>
        <v/>
      </c>
    </row>
    <row r="15" spans="1:6" x14ac:dyDescent="0.25">
      <c r="A15" s="18" t="s">
        <v>50</v>
      </c>
      <c r="B15" s="32"/>
      <c r="C15" t="s">
        <v>51</v>
      </c>
      <c r="D15" s="5"/>
    </row>
    <row r="16" spans="1:6" x14ac:dyDescent="0.25">
      <c r="C16" t="s">
        <v>52</v>
      </c>
      <c r="E16" s="12"/>
      <c r="F16" s="12"/>
    </row>
    <row r="17" spans="1:6" s="7" customFormat="1" x14ac:dyDescent="0.25">
      <c r="A17" s="10"/>
      <c r="B17" s="11"/>
      <c r="C17" s="11"/>
      <c r="D17" s="12"/>
      <c r="E17" s="12"/>
      <c r="F17" s="12"/>
    </row>
    <row r="18" spans="1:6" s="7" customFormat="1" ht="18" x14ac:dyDescent="0.25">
      <c r="A18" s="29" t="s">
        <v>40</v>
      </c>
      <c r="B18" s="11"/>
      <c r="C18" s="11"/>
      <c r="D18" s="12"/>
      <c r="E18" s="12"/>
      <c r="F18" s="12"/>
    </row>
    <row r="19" spans="1:6" s="7" customFormat="1" ht="15.75" x14ac:dyDescent="0.25">
      <c r="A19" s="27" t="s">
        <v>3</v>
      </c>
      <c r="B19" s="11"/>
      <c r="C19" s="11"/>
      <c r="D19" s="12"/>
      <c r="E19" s="12"/>
      <c r="F19" s="12"/>
    </row>
    <row r="20" spans="1:6" s="7" customFormat="1" x14ac:dyDescent="0.25">
      <c r="A20" t="s">
        <v>41</v>
      </c>
      <c r="B20" s="11"/>
      <c r="C20" s="11"/>
      <c r="D20" s="12"/>
      <c r="E20" s="12"/>
      <c r="F20" s="12"/>
    </row>
    <row r="21" spans="1:6" s="7" customFormat="1" x14ac:dyDescent="0.25">
      <c r="A21" t="s">
        <v>28</v>
      </c>
      <c r="B21" s="11"/>
      <c r="C21" s="11"/>
      <c r="D21" s="12"/>
      <c r="E21" s="12"/>
      <c r="F21" s="12"/>
    </row>
    <row r="22" spans="1:6" s="7" customFormat="1" x14ac:dyDescent="0.25">
      <c r="A22" t="s">
        <v>31</v>
      </c>
      <c r="B22" s="11"/>
      <c r="C22" s="11"/>
      <c r="D22" s="12"/>
      <c r="E22" s="12"/>
      <c r="F22" s="12"/>
    </row>
    <row r="23" spans="1:6" s="7" customFormat="1" x14ac:dyDescent="0.25">
      <c r="A23" s="26"/>
      <c r="B23" s="11"/>
      <c r="C23" s="11"/>
      <c r="D23" s="12"/>
      <c r="E23" s="12"/>
      <c r="F23" s="12"/>
    </row>
    <row r="24" spans="1:6" s="7" customFormat="1" x14ac:dyDescent="0.25">
      <c r="A24"/>
      <c r="B24" s="13"/>
      <c r="C24" s="13"/>
      <c r="D24" s="12"/>
      <c r="E24" s="12"/>
      <c r="F24" s="12"/>
    </row>
    <row r="25" spans="1:6" s="7" customFormat="1" ht="18.75" x14ac:dyDescent="0.3">
      <c r="A25" s="30" t="s">
        <v>30</v>
      </c>
      <c r="B25" s="11"/>
      <c r="C25" s="11"/>
      <c r="D25" s="12"/>
      <c r="E25" s="12"/>
      <c r="F25" s="12"/>
    </row>
    <row r="26" spans="1:6" s="7" customFormat="1" x14ac:dyDescent="0.25">
      <c r="A26" s="31" t="s">
        <v>48</v>
      </c>
      <c r="B26" s="11"/>
      <c r="C26" s="11"/>
      <c r="D26" s="12"/>
      <c r="E26" s="12"/>
      <c r="F26" s="12"/>
    </row>
    <row r="27" spans="1:6" s="7" customFormat="1" x14ac:dyDescent="0.25">
      <c r="A27" s="22" t="s">
        <v>17</v>
      </c>
      <c r="B27" s="11"/>
      <c r="C27" s="11"/>
      <c r="D27" s="12"/>
      <c r="E27" s="12"/>
      <c r="F27" s="12"/>
    </row>
    <row r="28" spans="1:6" x14ac:dyDescent="0.25">
      <c r="A28" s="22" t="s">
        <v>18</v>
      </c>
      <c r="B28" s="13"/>
      <c r="C28" s="13"/>
      <c r="D28" s="14"/>
      <c r="E28" s="14"/>
      <c r="F28" s="14"/>
    </row>
    <row r="29" spans="1:6" x14ac:dyDescent="0.25">
      <c r="A29" s="22" t="s">
        <v>19</v>
      </c>
      <c r="B29" s="11"/>
      <c r="C29" s="11"/>
      <c r="D29" s="14"/>
      <c r="E29" s="14"/>
      <c r="F29" s="14"/>
    </row>
    <row r="30" spans="1:6" x14ac:dyDescent="0.25">
      <c r="A30" s="22" t="s">
        <v>20</v>
      </c>
      <c r="B30" s="11"/>
      <c r="C30" s="11"/>
      <c r="D30" s="14"/>
      <c r="E30" s="14"/>
      <c r="F30" s="14"/>
    </row>
    <row r="31" spans="1:6" x14ac:dyDescent="0.25">
      <c r="A31" s="22" t="s">
        <v>17</v>
      </c>
      <c r="B31" s="11"/>
      <c r="C31" s="11"/>
      <c r="D31" s="14"/>
      <c r="E31" s="14"/>
      <c r="F31" s="14"/>
    </row>
    <row r="32" spans="1:6" x14ac:dyDescent="0.25">
      <c r="A32" s="25" t="s">
        <v>21</v>
      </c>
      <c r="B32" s="13"/>
      <c r="C32" s="13"/>
      <c r="D32" s="14"/>
      <c r="E32" s="14"/>
      <c r="F32" s="14"/>
    </row>
    <row r="33" spans="1:6" x14ac:dyDescent="0.25">
      <c r="A33" s="22" t="s">
        <v>17</v>
      </c>
      <c r="B33" s="11"/>
      <c r="C33" s="11"/>
      <c r="D33" s="12"/>
      <c r="E33" s="12"/>
      <c r="F33" s="12"/>
    </row>
    <row r="34" spans="1:6" x14ac:dyDescent="0.25">
      <c r="A34" s="22" t="s">
        <v>22</v>
      </c>
      <c r="B34" s="11"/>
      <c r="C34" s="11"/>
      <c r="D34" s="12"/>
      <c r="E34" s="12"/>
      <c r="F34" s="12"/>
    </row>
    <row r="35" spans="1:6" x14ac:dyDescent="0.25">
      <c r="A35" s="22" t="s">
        <v>23</v>
      </c>
      <c r="B35" s="11"/>
      <c r="C35" s="11"/>
      <c r="D35" s="12"/>
      <c r="E35" s="12"/>
      <c r="F35" s="12"/>
    </row>
    <row r="36" spans="1:6" x14ac:dyDescent="0.25">
      <c r="A36" s="22" t="s">
        <v>24</v>
      </c>
      <c r="B36" s="17"/>
      <c r="C36" s="17"/>
      <c r="D36" s="9"/>
      <c r="E36" s="9"/>
      <c r="F36" s="9"/>
    </row>
    <row r="37" spans="1:6" x14ac:dyDescent="0.25">
      <c r="A37" s="22" t="s">
        <v>25</v>
      </c>
      <c r="B37" s="11"/>
      <c r="C37" s="11"/>
      <c r="D37" s="12"/>
      <c r="E37" s="12"/>
      <c r="F37" s="12"/>
    </row>
    <row r="38" spans="1:6" x14ac:dyDescent="0.25">
      <c r="A38" s="22" t="s">
        <v>26</v>
      </c>
      <c r="B38" s="11"/>
      <c r="C38" s="11"/>
      <c r="D38" s="12"/>
      <c r="E38" s="12"/>
      <c r="F38" s="12"/>
    </row>
    <row r="39" spans="1:6" x14ac:dyDescent="0.25">
      <c r="A39" s="8"/>
      <c r="B39" s="17"/>
      <c r="C39" s="17"/>
      <c r="D39" s="9"/>
      <c r="E39" s="9"/>
      <c r="F39" s="9"/>
    </row>
    <row r="40" spans="1:6" x14ac:dyDescent="0.25">
      <c r="A40" s="10"/>
      <c r="B40" s="11"/>
      <c r="C40" s="11"/>
      <c r="D40" s="12"/>
      <c r="E40" s="12"/>
      <c r="F40" s="12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3"/>
      <c r="C42" s="13"/>
      <c r="D42" s="12"/>
      <c r="E42" s="12"/>
      <c r="F42" s="12"/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1"/>
      <c r="B45" s="13"/>
      <c r="C45" s="13"/>
      <c r="D45" s="9"/>
      <c r="E45" s="9"/>
      <c r="F45" s="9"/>
    </row>
    <row r="46" spans="1:6" x14ac:dyDescent="0.25">
      <c r="A46" s="11"/>
      <c r="B46" s="8"/>
      <c r="C46" s="8"/>
      <c r="D46" s="9"/>
      <c r="E46" s="9"/>
      <c r="F46" s="9"/>
    </row>
    <row r="47" spans="1:6" x14ac:dyDescent="0.25">
      <c r="A47" s="13"/>
      <c r="B47" s="8"/>
      <c r="C47" s="8"/>
      <c r="D47" s="9"/>
      <c r="E47" s="9"/>
      <c r="F47" s="9"/>
    </row>
    <row r="48" spans="1:6" x14ac:dyDescent="0.25">
      <c r="A48" s="8"/>
      <c r="B48" s="15"/>
      <c r="C48" s="15"/>
      <c r="D48" s="9"/>
      <c r="E48" s="9"/>
      <c r="F48" s="9"/>
    </row>
    <row r="49" spans="1:6" x14ac:dyDescent="0.25">
      <c r="A49" s="16"/>
      <c r="B49" s="9"/>
      <c r="C49" s="9"/>
      <c r="D49" s="9"/>
      <c r="E49" s="9"/>
      <c r="F49" s="9"/>
    </row>
    <row r="50" spans="1:6" x14ac:dyDescent="0.25">
      <c r="A50" s="1"/>
    </row>
    <row r="51" spans="1:6" x14ac:dyDescent="0.25">
      <c r="A51" s="1"/>
      <c r="B51" s="13"/>
      <c r="C51" s="1"/>
    </row>
    <row r="52" spans="1:6" x14ac:dyDescent="0.25"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A58" s="1"/>
      <c r="B58" s="1"/>
      <c r="C58" s="1"/>
    </row>
    <row r="59" spans="1:6" x14ac:dyDescent="0.25">
      <c r="A59" s="2"/>
      <c r="B59" s="1"/>
      <c r="C59" s="1"/>
    </row>
    <row r="60" spans="1:6" x14ac:dyDescent="0.25">
      <c r="A60" s="1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3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I176"/>
  <sheetViews>
    <sheetView tabSelected="1" zoomScale="110" zoomScaleNormal="110" workbookViewId="0">
      <selection activeCell="A9" sqref="A9"/>
    </sheetView>
  </sheetViews>
  <sheetFormatPr baseColWidth="10"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1.5703125" customWidth="1"/>
    <col min="5" max="5" width="20.140625" customWidth="1"/>
    <col min="6" max="7" width="13.42578125" customWidth="1"/>
    <col min="8" max="8" width="12.85546875" customWidth="1"/>
  </cols>
  <sheetData>
    <row r="1" spans="1:9" ht="15.75" x14ac:dyDescent="0.25">
      <c r="A1" s="6" t="s">
        <v>72</v>
      </c>
    </row>
    <row r="2" spans="1:9" ht="15.75" x14ac:dyDescent="0.25">
      <c r="A2" s="6"/>
    </row>
    <row r="3" spans="1:9" x14ac:dyDescent="0.25">
      <c r="B3" s="18"/>
      <c r="C3" s="22"/>
      <c r="D3" s="22" t="s">
        <v>0</v>
      </c>
      <c r="E3" s="22" t="s">
        <v>61</v>
      </c>
      <c r="F3" s="22" t="s">
        <v>62</v>
      </c>
      <c r="G3" s="22" t="s">
        <v>60</v>
      </c>
      <c r="H3" t="s">
        <v>59</v>
      </c>
      <c r="I3" t="s">
        <v>60</v>
      </c>
    </row>
    <row r="4" spans="1:9" x14ac:dyDescent="0.25">
      <c r="B4" s="40" t="s">
        <v>76</v>
      </c>
      <c r="C4" s="22"/>
      <c r="D4" s="22"/>
      <c r="E4" s="22"/>
      <c r="F4" s="22"/>
      <c r="G4" s="22"/>
    </row>
    <row r="5" spans="1:9" x14ac:dyDescent="0.25">
      <c r="A5" s="10">
        <v>1000</v>
      </c>
      <c r="B5" s="11" t="str">
        <f ca="1">BAccountDescriptionF(File0,$A5)</f>
        <v xml:space="preserve">Cash </v>
      </c>
      <c r="C5" s="22"/>
      <c r="D5" s="22"/>
      <c r="E5" s="11" t="str">
        <f ca="1">BAccountDescriptionF(File0,$A5)</f>
        <v xml:space="preserve">Cash </v>
      </c>
      <c r="F5" s="11" t="str">
        <f ca="1">BAccountDescription($A5)</f>
        <v xml:space="preserve">Cash </v>
      </c>
      <c r="G5" t="s">
        <v>66</v>
      </c>
      <c r="H5" s="34">
        <f t="shared" ref="H5:H6" ca="1" si="0">IF(E5&lt;&gt;F5,1,0)</f>
        <v>0</v>
      </c>
      <c r="I5">
        <f t="shared" ref="I5:I6" ca="1" si="1">IF(E5&lt;&gt;G5,1,0)</f>
        <v>0</v>
      </c>
    </row>
    <row r="6" spans="1:9" x14ac:dyDescent="0.25">
      <c r="A6" s="10" t="s">
        <v>77</v>
      </c>
      <c r="B6" s="11" t="str">
        <f ca="1">BAccountDescriptionF(File0,$A6)</f>
        <v>Total ASSETS</v>
      </c>
      <c r="C6" s="22"/>
      <c r="D6" s="22"/>
      <c r="E6" s="11" t="str">
        <f ca="1">BAccountDescriptionF(File0,$A6)</f>
        <v>Total ASSETS</v>
      </c>
      <c r="F6" s="11" t="str">
        <f ca="1">BAccountDescription($A6)</f>
        <v>Total ASSETS</v>
      </c>
      <c r="G6" t="s">
        <v>79</v>
      </c>
      <c r="H6" s="34">
        <f t="shared" ca="1" si="0"/>
        <v>0</v>
      </c>
      <c r="I6">
        <f t="shared" ca="1" si="1"/>
        <v>0</v>
      </c>
    </row>
    <row r="7" spans="1:9" x14ac:dyDescent="0.25">
      <c r="A7" s="10" t="s">
        <v>78</v>
      </c>
      <c r="B7" s="11" t="str">
        <f ca="1">BAccountDescriptionF(File0,$A7)</f>
        <v/>
      </c>
      <c r="C7" s="22"/>
      <c r="D7" s="22"/>
      <c r="E7" s="22"/>
      <c r="F7" s="11" t="str">
        <f ca="1">BAccountDescriptionF(File0,$A7)</f>
        <v/>
      </c>
      <c r="G7" s="11" t="s">
        <v>80</v>
      </c>
      <c r="H7" s="34">
        <f t="shared" ref="H7" ca="1" si="2">IF(E7&lt;&gt;F7,1,0)</f>
        <v>0</v>
      </c>
      <c r="I7">
        <f t="shared" ref="I7" si="3">IF(E7&lt;&gt;G7,1,0)</f>
        <v>0</v>
      </c>
    </row>
    <row r="8" spans="1:9" ht="15.75" x14ac:dyDescent="0.25">
      <c r="B8" s="36" t="s">
        <v>73</v>
      </c>
      <c r="C8" s="22"/>
      <c r="D8" s="22"/>
      <c r="E8" s="22"/>
      <c r="F8" s="22"/>
      <c r="G8" s="22"/>
    </row>
    <row r="9" spans="1:9" x14ac:dyDescent="0.25">
      <c r="B9" s="18" t="s">
        <v>74</v>
      </c>
      <c r="C9" s="39">
        <v>43831</v>
      </c>
      <c r="D9" s="39">
        <v>43921</v>
      </c>
      <c r="E9" s="5" t="str">
        <f>BCreatePeriod(C9,D9)</f>
        <v>2020-01-01/2020-03-31</v>
      </c>
      <c r="F9" s="28"/>
      <c r="G9" s="28" t="s">
        <v>75</v>
      </c>
      <c r="H9" s="28"/>
      <c r="I9">
        <f>IF(E9&lt;&gt;G9,1,0)</f>
        <v>0</v>
      </c>
    </row>
    <row r="10" spans="1:9" x14ac:dyDescent="0.25">
      <c r="B10" s="33" t="s">
        <v>57</v>
      </c>
      <c r="C10" s="22"/>
      <c r="D10" s="22"/>
      <c r="E10" s="28">
        <f ca="1">BStartPeriodF(File0,$D10)</f>
        <v>43831</v>
      </c>
      <c r="F10" s="28">
        <f ca="1">BStartPeriod($D10)</f>
        <v>43831</v>
      </c>
      <c r="G10" s="28">
        <v>43831</v>
      </c>
      <c r="H10" s="34">
        <f ca="1">IF(E10&lt;&gt;F10,1,0)</f>
        <v>0</v>
      </c>
      <c r="I10">
        <f ca="1">IF(E10&lt;&gt;G10,1,0)</f>
        <v>0</v>
      </c>
    </row>
    <row r="11" spans="1:9" x14ac:dyDescent="0.25">
      <c r="D11" s="11" t="s">
        <v>13</v>
      </c>
      <c r="E11" s="28">
        <f ca="1">BStartPeriodF(File0,$D11)</f>
        <v>43831</v>
      </c>
      <c r="F11" s="28">
        <f ca="1">BStartPeriod($D11)</f>
        <v>43831</v>
      </c>
      <c r="G11" s="28">
        <v>43831</v>
      </c>
      <c r="H11" s="34">
        <f t="shared" ref="H11:H20" ca="1" si="4">IF(E11&lt;&gt;F11,1,0)</f>
        <v>0</v>
      </c>
      <c r="I11">
        <f t="shared" ref="I11:I24" ca="1" si="5">IF(E11&lt;&gt;G11,1,0)</f>
        <v>0</v>
      </c>
    </row>
    <row r="12" spans="1:9" x14ac:dyDescent="0.25">
      <c r="D12" s="11" t="s">
        <v>1</v>
      </c>
      <c r="E12" s="28">
        <f ca="1">BStartPeriodF(File0,$D12)</f>
        <v>43831</v>
      </c>
      <c r="F12" s="28">
        <f ca="1">BStartPeriod($D12)</f>
        <v>43831</v>
      </c>
      <c r="G12" s="28">
        <v>43831</v>
      </c>
      <c r="H12" s="34">
        <f t="shared" ca="1" si="4"/>
        <v>0</v>
      </c>
      <c r="I12">
        <f t="shared" ca="1" si="5"/>
        <v>0</v>
      </c>
    </row>
    <row r="13" spans="1:9" x14ac:dyDescent="0.25">
      <c r="B13" s="33" t="s">
        <v>58</v>
      </c>
      <c r="C13" s="22"/>
      <c r="D13" s="22"/>
      <c r="E13" s="28">
        <f ca="1">BEndPeriodF(File0,$D13)</f>
        <v>44196</v>
      </c>
      <c r="F13" s="28">
        <f ca="1">BEndPeriod($D13)</f>
        <v>44196</v>
      </c>
      <c r="G13" s="28">
        <v>44196</v>
      </c>
      <c r="H13" s="34">
        <f t="shared" ca="1" si="4"/>
        <v>0</v>
      </c>
      <c r="I13">
        <f t="shared" ca="1" si="5"/>
        <v>0</v>
      </c>
    </row>
    <row r="14" spans="1:9" x14ac:dyDescent="0.25">
      <c r="D14" s="11" t="s">
        <v>13</v>
      </c>
      <c r="E14" s="28">
        <f ca="1">BEndPeriodF(File0,$D14)</f>
        <v>43861</v>
      </c>
      <c r="F14" s="28">
        <f ca="1">BEndPeriod($D14)</f>
        <v>43861</v>
      </c>
      <c r="G14" s="28">
        <v>43861</v>
      </c>
      <c r="H14" s="34">
        <f t="shared" ca="1" si="4"/>
        <v>0</v>
      </c>
      <c r="I14">
        <f t="shared" ca="1" si="5"/>
        <v>0</v>
      </c>
    </row>
    <row r="15" spans="1:9" x14ac:dyDescent="0.25">
      <c r="D15" s="11" t="s">
        <v>1</v>
      </c>
      <c r="E15" s="28">
        <f ca="1">BEndPeriodF(File0,$D15)</f>
        <v>43921</v>
      </c>
      <c r="F15" s="28">
        <f ca="1">BEndPeriod($D15)</f>
        <v>43921</v>
      </c>
      <c r="G15" s="28">
        <v>43921</v>
      </c>
      <c r="H15" s="34">
        <f t="shared" ca="1" si="4"/>
        <v>0</v>
      </c>
      <c r="I15">
        <f t="shared" ca="1" si="5"/>
        <v>0</v>
      </c>
    </row>
    <row r="16" spans="1:9" ht="15.75" x14ac:dyDescent="0.25">
      <c r="B16" s="36" t="s">
        <v>16</v>
      </c>
      <c r="D16" s="11"/>
      <c r="E16" s="28"/>
      <c r="F16" s="28"/>
      <c r="G16" s="28"/>
      <c r="H16" s="34"/>
    </row>
    <row r="17" spans="1:9" x14ac:dyDescent="0.25">
      <c r="A17" s="8"/>
      <c r="B17" s="17" t="s">
        <v>10</v>
      </c>
      <c r="C17" s="17"/>
      <c r="E17" s="9"/>
      <c r="F17" s="9"/>
      <c r="G17" s="9"/>
      <c r="H17" s="9"/>
      <c r="I17">
        <f t="shared" si="5"/>
        <v>0</v>
      </c>
    </row>
    <row r="18" spans="1:9" x14ac:dyDescent="0.25">
      <c r="A18" s="10">
        <v>1000</v>
      </c>
      <c r="B18" s="11" t="str">
        <f ca="1">BAccountDescriptionF(File0,$A18)</f>
        <v xml:space="preserve">Cash </v>
      </c>
      <c r="C18" s="11"/>
      <c r="D18" s="11"/>
      <c r="E18" s="12">
        <f ca="1">BOpeningF(File0,$A18)</f>
        <v>17570</v>
      </c>
      <c r="F18" s="12">
        <f ca="1">BOpening($A18)</f>
        <v>17570</v>
      </c>
      <c r="G18" s="12">
        <v>17570</v>
      </c>
      <c r="H18" s="34">
        <f t="shared" ca="1" si="4"/>
        <v>0</v>
      </c>
      <c r="I18">
        <f t="shared" ca="1" si="5"/>
        <v>0</v>
      </c>
    </row>
    <row r="19" spans="1:9" x14ac:dyDescent="0.25">
      <c r="A19" s="10">
        <v>1000</v>
      </c>
      <c r="B19" s="11" t="str">
        <f ca="1">BAccountDescriptionF(File0,$A19)</f>
        <v xml:space="preserve">Cash </v>
      </c>
      <c r="C19" s="11"/>
      <c r="D19" s="11" t="s">
        <v>13</v>
      </c>
      <c r="E19" s="12">
        <f ca="1">BOpeningF(File0,$A18,$D19)</f>
        <v>17570</v>
      </c>
      <c r="F19" s="12">
        <f ca="1">BOpening($A18,$D19)</f>
        <v>17570</v>
      </c>
      <c r="G19" s="12">
        <v>17570</v>
      </c>
      <c r="H19" s="34">
        <f t="shared" ca="1" si="4"/>
        <v>0</v>
      </c>
      <c r="I19">
        <f t="shared" ca="1" si="5"/>
        <v>0</v>
      </c>
    </row>
    <row r="20" spans="1:9" x14ac:dyDescent="0.25">
      <c r="A20" s="10">
        <v>1000</v>
      </c>
      <c r="B20" s="11" t="str">
        <f ca="1">BAccountDescriptionF(File0,$A20)</f>
        <v xml:space="preserve">Cash </v>
      </c>
      <c r="C20" s="11"/>
      <c r="D20" s="11" t="s">
        <v>1</v>
      </c>
      <c r="E20" s="12">
        <f ca="1">BOpeningF(File0,$A18,$D20)</f>
        <v>17570</v>
      </c>
      <c r="F20" s="12">
        <f ca="1">BOpening($A19,$D20)</f>
        <v>17570</v>
      </c>
      <c r="G20" s="12">
        <v>17570</v>
      </c>
      <c r="H20" s="34">
        <f t="shared" ca="1" si="4"/>
        <v>0</v>
      </c>
      <c r="I20">
        <f t="shared" ca="1" si="5"/>
        <v>0</v>
      </c>
    </row>
    <row r="21" spans="1:9" x14ac:dyDescent="0.25">
      <c r="A21" s="8"/>
      <c r="B21" s="17" t="s">
        <v>7</v>
      </c>
      <c r="C21" s="8"/>
      <c r="D21" s="11"/>
      <c r="H21" s="9"/>
      <c r="I21">
        <f t="shared" si="5"/>
        <v>0</v>
      </c>
    </row>
    <row r="22" spans="1:9" x14ac:dyDescent="0.25">
      <c r="A22" s="10">
        <v>1000</v>
      </c>
      <c r="B22" s="11" t="str">
        <f ca="1">BAccountDescriptionF(File0,A22)</f>
        <v xml:space="preserve">Cash </v>
      </c>
      <c r="C22" s="8"/>
      <c r="D22" s="11"/>
      <c r="E22" s="12">
        <f ca="1">BBalanceF(File0,$A22,$D22)</f>
        <v>31940</v>
      </c>
      <c r="F22" s="12">
        <f ca="1">BBalance($A22,$D22)</f>
        <v>31940</v>
      </c>
      <c r="G22" s="12">
        <v>31940</v>
      </c>
      <c r="H22" s="34">
        <f t="shared" ref="H22:H24" ca="1" si="6">IF(E22&lt;&gt;F22,1,0)</f>
        <v>0</v>
      </c>
      <c r="I22">
        <f t="shared" ca="1" si="5"/>
        <v>0</v>
      </c>
    </row>
    <row r="23" spans="1:9" x14ac:dyDescent="0.25">
      <c r="A23" s="10">
        <v>1000</v>
      </c>
      <c r="B23" s="11" t="str">
        <f ca="1">BAccountDescriptionF(File0,A23)</f>
        <v xml:space="preserve">Cash </v>
      </c>
      <c r="C23" s="8"/>
      <c r="D23" s="11" t="s">
        <v>13</v>
      </c>
      <c r="E23" s="12">
        <f ca="1">BBalanceF(File0,$A23,D23)</f>
        <v>29140</v>
      </c>
      <c r="F23" s="12">
        <f ca="1">BBalance($A23,$D23)</f>
        <v>29140</v>
      </c>
      <c r="G23" s="12">
        <v>29140</v>
      </c>
      <c r="H23" s="34">
        <f t="shared" ca="1" si="6"/>
        <v>0</v>
      </c>
      <c r="I23">
        <f t="shared" ca="1" si="5"/>
        <v>0</v>
      </c>
    </row>
    <row r="24" spans="1:9" x14ac:dyDescent="0.25">
      <c r="A24" s="10">
        <v>1000</v>
      </c>
      <c r="B24" s="11" t="str">
        <f ca="1">BAccountDescriptionF(File0,A24)</f>
        <v xml:space="preserve">Cash </v>
      </c>
      <c r="C24" s="8"/>
      <c r="D24" s="11" t="s">
        <v>1</v>
      </c>
      <c r="E24" s="12">
        <f ca="1">BBalanceF(File0,$A24,D24)</f>
        <v>31940</v>
      </c>
      <c r="F24" s="12">
        <f ca="1">BBalance($A24,$D24)</f>
        <v>31940</v>
      </c>
      <c r="G24" s="12">
        <v>31940</v>
      </c>
      <c r="H24" s="34">
        <f t="shared" ca="1" si="6"/>
        <v>0</v>
      </c>
      <c r="I24">
        <f t="shared" ca="1" si="5"/>
        <v>0</v>
      </c>
    </row>
    <row r="25" spans="1:9" x14ac:dyDescent="0.25">
      <c r="A25" s="10"/>
      <c r="B25" s="13" t="s">
        <v>15</v>
      </c>
      <c r="C25" s="8"/>
      <c r="D25" s="11"/>
      <c r="E25" s="12"/>
      <c r="F25" s="12"/>
      <c r="G25" s="12"/>
      <c r="H25" s="34"/>
    </row>
    <row r="26" spans="1:9" x14ac:dyDescent="0.25">
      <c r="A26" s="10">
        <v>1000</v>
      </c>
      <c r="B26" s="11" t="str">
        <f ca="1">BAccountDescriptionF(File0,A26)</f>
        <v xml:space="preserve">Cash </v>
      </c>
      <c r="C26" s="8"/>
      <c r="D26" s="11"/>
      <c r="E26" s="12">
        <f ca="1">BAmountF(File0,$A26,$D26)</f>
        <v>31940</v>
      </c>
      <c r="F26" s="12">
        <f ca="1">BAmount($A26,$D26)</f>
        <v>31940</v>
      </c>
      <c r="G26" s="12">
        <v>31940</v>
      </c>
      <c r="H26" s="34">
        <f t="shared" ref="H26:H28" ca="1" si="7">IF(E26&lt;&gt;F26,1,0)</f>
        <v>0</v>
      </c>
      <c r="I26">
        <f t="shared" ref="I26:I28" ca="1" si="8">IF(E26&lt;&gt;G26,1,0)</f>
        <v>0</v>
      </c>
    </row>
    <row r="27" spans="1:9" x14ac:dyDescent="0.25">
      <c r="A27" s="10">
        <v>1000</v>
      </c>
      <c r="B27" s="11" t="str">
        <f ca="1">BAccountDescriptionF(File0,A27)</f>
        <v xml:space="preserve">Cash </v>
      </c>
      <c r="C27" s="8"/>
      <c r="D27" s="11" t="s">
        <v>13</v>
      </c>
      <c r="E27" s="12">
        <f ca="1">BAmountF(File0,$A27,$D27)</f>
        <v>29140</v>
      </c>
      <c r="F27" s="12">
        <f t="shared" ref="F27:F32" ca="1" si="9">BAmount($A27,$D27)</f>
        <v>29140</v>
      </c>
      <c r="G27" s="12">
        <v>29140</v>
      </c>
      <c r="H27" s="34">
        <f t="shared" ca="1" si="7"/>
        <v>0</v>
      </c>
      <c r="I27">
        <f t="shared" ca="1" si="8"/>
        <v>0</v>
      </c>
    </row>
    <row r="28" spans="1:9" x14ac:dyDescent="0.25">
      <c r="A28" s="10">
        <v>1000</v>
      </c>
      <c r="B28" s="11" t="str">
        <f ca="1">BAccountDescriptionF(File0,A28)</f>
        <v xml:space="preserve">Cash </v>
      </c>
      <c r="C28" s="8"/>
      <c r="D28" s="11" t="s">
        <v>1</v>
      </c>
      <c r="E28" s="12">
        <f ca="1">BAmountF(File0,$A28,$D28)</f>
        <v>31940</v>
      </c>
      <c r="F28" s="12">
        <f t="shared" ca="1" si="9"/>
        <v>31940</v>
      </c>
      <c r="G28" s="12">
        <v>31940</v>
      </c>
      <c r="H28" s="34">
        <f t="shared" ca="1" si="7"/>
        <v>0</v>
      </c>
      <c r="I28">
        <f t="shared" ca="1" si="8"/>
        <v>0</v>
      </c>
    </row>
    <row r="29" spans="1:9" x14ac:dyDescent="0.25">
      <c r="A29" s="10"/>
      <c r="B29" s="11"/>
      <c r="C29" s="8"/>
      <c r="D29" s="11"/>
      <c r="E29" s="12"/>
      <c r="F29" s="12"/>
      <c r="G29" s="12"/>
      <c r="H29" s="34"/>
    </row>
    <row r="30" spans="1:9" x14ac:dyDescent="0.25">
      <c r="A30" s="10">
        <v>2000</v>
      </c>
      <c r="B30" s="11" t="str">
        <f ca="1">BAccountDescriptionF(File0,A30)</f>
        <v>Supplier</v>
      </c>
      <c r="C30" s="8"/>
      <c r="D30" s="11"/>
      <c r="E30" s="12">
        <f ca="1">BAmountF(File0,$A30,$D30)</f>
        <v>5300</v>
      </c>
      <c r="F30" s="12">
        <f ca="1">BAmount($A30,$D30)</f>
        <v>5300</v>
      </c>
      <c r="G30" s="12">
        <v>5300</v>
      </c>
      <c r="H30" s="34">
        <f t="shared" ref="H30:H32" ca="1" si="10">IF(E30&lt;&gt;F30,1,0)</f>
        <v>0</v>
      </c>
      <c r="I30">
        <f t="shared" ref="I30:I32" ca="1" si="11">IF(E30&lt;&gt;G30,1,0)</f>
        <v>0</v>
      </c>
    </row>
    <row r="31" spans="1:9" x14ac:dyDescent="0.25">
      <c r="A31" s="10">
        <v>2000</v>
      </c>
      <c r="B31" s="11" t="str">
        <f ca="1">BAccountDescriptionF(File0,A31)</f>
        <v>Supplier</v>
      </c>
      <c r="C31" s="8"/>
      <c r="D31" s="11" t="s">
        <v>13</v>
      </c>
      <c r="E31" s="12">
        <f ca="1">BAmountF(File0,$A31,$D31)</f>
        <v>0</v>
      </c>
      <c r="F31" s="12">
        <f t="shared" ca="1" si="9"/>
        <v>0</v>
      </c>
      <c r="G31" s="12">
        <v>0</v>
      </c>
      <c r="H31" s="34">
        <f t="shared" ca="1" si="10"/>
        <v>0</v>
      </c>
      <c r="I31">
        <f t="shared" ca="1" si="11"/>
        <v>0</v>
      </c>
    </row>
    <row r="32" spans="1:9" x14ac:dyDescent="0.25">
      <c r="A32" s="10">
        <v>2000</v>
      </c>
      <c r="B32" s="11" t="str">
        <f ca="1">BAccountDescriptionF(File0,A32)</f>
        <v>Supplier</v>
      </c>
      <c r="C32" s="8"/>
      <c r="D32" s="11" t="s">
        <v>1</v>
      </c>
      <c r="E32" s="12">
        <f ca="1">BAmountF(File0,$A32,$D32)</f>
        <v>5300</v>
      </c>
      <c r="F32" s="12">
        <f t="shared" ca="1" si="9"/>
        <v>5300</v>
      </c>
      <c r="G32" s="12">
        <v>5300</v>
      </c>
      <c r="H32" s="34">
        <f t="shared" ca="1" si="10"/>
        <v>0</v>
      </c>
      <c r="I32">
        <f t="shared" ca="1" si="11"/>
        <v>0</v>
      </c>
    </row>
    <row r="33" spans="1:9" x14ac:dyDescent="0.25">
      <c r="A33" s="10"/>
      <c r="B33" s="11"/>
      <c r="C33" s="8"/>
      <c r="D33" s="11"/>
      <c r="E33" s="12"/>
      <c r="F33" s="12"/>
      <c r="G33" s="12"/>
      <c r="H33" s="34"/>
    </row>
    <row r="34" spans="1:9" x14ac:dyDescent="0.25">
      <c r="A34" s="10">
        <v>3000</v>
      </c>
      <c r="B34" s="11" t="str">
        <f ca="1">BAccountDescriptionF(File0,A34)</f>
        <v>Purchase goods for resale</v>
      </c>
      <c r="C34" s="8"/>
      <c r="D34" s="11"/>
      <c r="E34" s="12">
        <f ca="1">BAmountF(File0,$A34,$D34)</f>
        <v>4818.18</v>
      </c>
      <c r="F34" s="12">
        <f ca="1">BAmount($A34,$D34)</f>
        <v>4818.18</v>
      </c>
      <c r="G34" s="12">
        <v>4818.18</v>
      </c>
      <c r="H34" s="34">
        <f t="shared" ref="H34:H36" ca="1" si="12">IF(E34&lt;&gt;F34,1,0)</f>
        <v>0</v>
      </c>
      <c r="I34">
        <f t="shared" ref="I34:I36" ca="1" si="13">IF(E34&lt;&gt;G34,1,0)</f>
        <v>0</v>
      </c>
    </row>
    <row r="35" spans="1:9" x14ac:dyDescent="0.25">
      <c r="A35" s="10">
        <v>3000</v>
      </c>
      <c r="B35" s="11" t="str">
        <f ca="1">BAccountDescriptionF(File0,A35)</f>
        <v>Purchase goods for resale</v>
      </c>
      <c r="C35" s="8"/>
      <c r="D35" s="11" t="s">
        <v>13</v>
      </c>
      <c r="E35" s="12">
        <f ca="1">BAmountF(File0,$A35,$D35)</f>
        <v>0</v>
      </c>
      <c r="F35" s="12">
        <f t="shared" ref="F35:F36" ca="1" si="14">BAmount($A35,$D35)</f>
        <v>0</v>
      </c>
      <c r="G35" s="12">
        <v>0</v>
      </c>
      <c r="H35" s="34">
        <f t="shared" ca="1" si="12"/>
        <v>0</v>
      </c>
      <c r="I35">
        <f t="shared" ca="1" si="13"/>
        <v>0</v>
      </c>
    </row>
    <row r="36" spans="1:9" x14ac:dyDescent="0.25">
      <c r="A36" s="10">
        <v>3000</v>
      </c>
      <c r="B36" s="11" t="str">
        <f ca="1">BAccountDescriptionF(File0,A36)</f>
        <v>Purchase goods for resale</v>
      </c>
      <c r="C36" s="8"/>
      <c r="D36" s="11" t="s">
        <v>1</v>
      </c>
      <c r="E36" s="12">
        <f ca="1">BAmountF(File0,$A36,$D36)</f>
        <v>4818.18</v>
      </c>
      <c r="F36" s="12">
        <f t="shared" ca="1" si="14"/>
        <v>4818.18</v>
      </c>
      <c r="G36" s="12">
        <v>4818.18</v>
      </c>
      <c r="H36" s="34">
        <f t="shared" ca="1" si="12"/>
        <v>0</v>
      </c>
      <c r="I36">
        <f t="shared" ca="1" si="13"/>
        <v>0</v>
      </c>
    </row>
    <row r="37" spans="1:9" x14ac:dyDescent="0.25">
      <c r="A37" s="10"/>
      <c r="B37" s="11"/>
      <c r="C37" s="8"/>
      <c r="D37" s="11"/>
      <c r="E37" s="12"/>
      <c r="F37" s="12"/>
      <c r="G37" s="12"/>
      <c r="H37" s="34"/>
    </row>
    <row r="38" spans="1:9" x14ac:dyDescent="0.25">
      <c r="A38" s="10">
        <v>4100</v>
      </c>
      <c r="B38" s="11" t="str">
        <f ca="1">BAccountDescriptionF(File0,A38)</f>
        <v>Income from sales</v>
      </c>
      <c r="C38" s="8"/>
      <c r="D38" s="11"/>
      <c r="E38" s="12">
        <f ca="1">BAmountF(File0,$A38,$D38)</f>
        <v>8454.5400000000009</v>
      </c>
      <c r="F38" s="12">
        <f ca="1">BAmount($A38,$D38)</f>
        <v>8454.5400000000009</v>
      </c>
      <c r="G38" s="12">
        <v>8454.5400000000009</v>
      </c>
      <c r="H38" s="34">
        <f t="shared" ref="H38:H40" ca="1" si="15">IF(E38&lt;&gt;F38,1,0)</f>
        <v>0</v>
      </c>
      <c r="I38">
        <f t="shared" ref="I38:I40" ca="1" si="16">IF(E38&lt;&gt;G38,1,0)</f>
        <v>0</v>
      </c>
    </row>
    <row r="39" spans="1:9" x14ac:dyDescent="0.25">
      <c r="A39" s="10">
        <v>4100</v>
      </c>
      <c r="B39" s="11" t="str">
        <f ca="1">BAccountDescriptionF(File0,A39)</f>
        <v>Income from sales</v>
      </c>
      <c r="C39" s="8"/>
      <c r="D39" s="11" t="s">
        <v>13</v>
      </c>
      <c r="E39" s="12">
        <f ca="1">BAmountF(File0,$A39,$D39)</f>
        <v>5909.09</v>
      </c>
      <c r="F39" s="12">
        <f t="shared" ref="F39:F40" ca="1" si="17">BAmount($A39,$D39)</f>
        <v>5909.09</v>
      </c>
      <c r="G39" s="12">
        <v>5909.09</v>
      </c>
      <c r="H39" s="34">
        <f t="shared" ca="1" si="15"/>
        <v>0</v>
      </c>
      <c r="I39">
        <f t="shared" ca="1" si="16"/>
        <v>0</v>
      </c>
    </row>
    <row r="40" spans="1:9" x14ac:dyDescent="0.25">
      <c r="A40" s="10">
        <v>4100</v>
      </c>
      <c r="B40" s="11" t="str">
        <f ca="1">BAccountDescriptionF(File0,A40)</f>
        <v>Income from sales</v>
      </c>
      <c r="C40" s="8"/>
      <c r="D40" s="11" t="s">
        <v>1</v>
      </c>
      <c r="E40" s="12">
        <f ca="1">BAmountF(File0,$A40,$D40)</f>
        <v>8454.5400000000009</v>
      </c>
      <c r="F40" s="12">
        <f t="shared" ca="1" si="17"/>
        <v>8454.5400000000009</v>
      </c>
      <c r="G40" s="12">
        <v>8454.5400000000009</v>
      </c>
      <c r="H40" s="34">
        <f t="shared" ca="1" si="15"/>
        <v>0</v>
      </c>
      <c r="I40">
        <f t="shared" ca="1" si="16"/>
        <v>0</v>
      </c>
    </row>
    <row r="41" spans="1:9" s="7" customFormat="1" x14ac:dyDescent="0.25">
      <c r="A41" s="10"/>
      <c r="B41" s="11"/>
      <c r="C41" s="11"/>
      <c r="D41" s="11"/>
      <c r="E41" s="12"/>
      <c r="F41" s="12"/>
      <c r="G41" s="12"/>
      <c r="H41" s="12"/>
    </row>
    <row r="42" spans="1:9" s="7" customFormat="1" x14ac:dyDescent="0.25">
      <c r="A42" s="10"/>
      <c r="B42" s="11" t="s">
        <v>8</v>
      </c>
      <c r="C42" s="11"/>
      <c r="D42" s="11"/>
      <c r="E42" s="12"/>
      <c r="F42" s="12"/>
      <c r="G42" s="12"/>
      <c r="H42" s="12"/>
    </row>
    <row r="43" spans="1:9" s="7" customFormat="1" x14ac:dyDescent="0.25">
      <c r="A43" s="10" t="s">
        <v>9</v>
      </c>
      <c r="B43" s="11" t="str">
        <f ca="1">BAccountDescriptionF(File0,A43)</f>
        <v/>
      </c>
      <c r="C43" s="11"/>
      <c r="D43" s="11"/>
      <c r="E43" s="12">
        <f ca="1">BBalanceF(File0,$A43,$D43)</f>
        <v>17758.18</v>
      </c>
      <c r="F43" s="12">
        <f t="shared" ref="F43:F45" ca="1" si="18">BBalance($A43,$D43)</f>
        <v>17758.18</v>
      </c>
      <c r="G43" s="12">
        <v>17758.18</v>
      </c>
      <c r="H43" s="34">
        <f t="shared" ref="H43:H106" ca="1" si="19">IF(E43&lt;&gt;F43,1,0)</f>
        <v>0</v>
      </c>
      <c r="I43">
        <f t="shared" ref="I43:I106" ca="1" si="20">IF(E43&lt;&gt;G43,1,0)</f>
        <v>0</v>
      </c>
    </row>
    <row r="44" spans="1:9" s="7" customFormat="1" x14ac:dyDescent="0.25">
      <c r="A44" s="10" t="s">
        <v>9</v>
      </c>
      <c r="B44" s="11" t="str">
        <f ca="1">BAccountDescriptionF(File0,A44)</f>
        <v/>
      </c>
      <c r="C44" s="11"/>
      <c r="D44" s="11" t="s">
        <v>13</v>
      </c>
      <c r="E44" s="12">
        <f ca="1">BBalanceF(File0,$A44,$D44)</f>
        <v>17438.18</v>
      </c>
      <c r="F44" s="12">
        <f t="shared" ca="1" si="18"/>
        <v>17438.18</v>
      </c>
      <c r="G44" s="12">
        <v>17438.18</v>
      </c>
      <c r="H44" s="34">
        <f t="shared" ca="1" si="19"/>
        <v>0</v>
      </c>
      <c r="I44">
        <f t="shared" ca="1" si="20"/>
        <v>0</v>
      </c>
    </row>
    <row r="45" spans="1:9" s="7" customFormat="1" x14ac:dyDescent="0.25">
      <c r="A45" s="10" t="s">
        <v>9</v>
      </c>
      <c r="B45" s="11" t="str">
        <f ca="1">BAccountDescriptionF(File0,A45)</f>
        <v/>
      </c>
      <c r="C45" s="11"/>
      <c r="D45" s="11" t="s">
        <v>1</v>
      </c>
      <c r="E45" s="12">
        <f ca="1">BBalanceF(File0,$A45,$D45)</f>
        <v>17758.18</v>
      </c>
      <c r="F45" s="12">
        <f t="shared" ca="1" si="18"/>
        <v>17758.18</v>
      </c>
      <c r="G45" s="12">
        <v>17758.18</v>
      </c>
      <c r="H45" s="34">
        <f t="shared" ca="1" si="19"/>
        <v>0</v>
      </c>
      <c r="I45">
        <f t="shared" ca="1" si="20"/>
        <v>0</v>
      </c>
    </row>
    <row r="46" spans="1:9" s="7" customFormat="1" x14ac:dyDescent="0.25">
      <c r="A46" s="10"/>
      <c r="B46" s="11"/>
      <c r="C46" s="11"/>
      <c r="D46" s="11"/>
      <c r="E46" s="12"/>
      <c r="F46" s="12"/>
      <c r="G46" s="12"/>
      <c r="H46" s="34">
        <f t="shared" si="19"/>
        <v>0</v>
      </c>
      <c r="I46">
        <f t="shared" si="20"/>
        <v>0</v>
      </c>
    </row>
    <row r="47" spans="1:9" s="7" customFormat="1" x14ac:dyDescent="0.25">
      <c r="A47" s="10"/>
      <c r="B47" s="35" t="s">
        <v>14</v>
      </c>
      <c r="C47" s="11"/>
      <c r="D47" s="11"/>
      <c r="E47" s="12"/>
      <c r="F47" s="12"/>
      <c r="G47" s="12"/>
      <c r="H47" s="34">
        <f t="shared" si="19"/>
        <v>0</v>
      </c>
      <c r="I47">
        <f t="shared" si="20"/>
        <v>0</v>
      </c>
    </row>
    <row r="48" spans="1:9" s="7" customFormat="1" x14ac:dyDescent="0.25">
      <c r="A48" s="10">
        <v>4100</v>
      </c>
      <c r="B48" s="11" t="str">
        <f ca="1">BAccountDescriptionF(File0,A48)</f>
        <v>Income from sales</v>
      </c>
      <c r="C48" s="11"/>
      <c r="D48" s="11"/>
      <c r="E48" s="12">
        <f ca="1">BTotalF(File0,$A48,$D48)</f>
        <v>-8454.5400000000009</v>
      </c>
      <c r="F48" s="12">
        <f ca="1">BTotal($A48,$D48)</f>
        <v>-8454.5400000000009</v>
      </c>
      <c r="G48" s="12">
        <v>-8454.5400000000009</v>
      </c>
      <c r="H48" s="34">
        <f t="shared" ca="1" si="19"/>
        <v>0</v>
      </c>
      <c r="I48">
        <f t="shared" ca="1" si="20"/>
        <v>0</v>
      </c>
    </row>
    <row r="49" spans="1:9" s="7" customFormat="1" x14ac:dyDescent="0.25">
      <c r="A49" s="10">
        <v>4100</v>
      </c>
      <c r="B49" s="11" t="str">
        <f ca="1">BAccountDescriptionF(File0,A49)</f>
        <v>Income from sales</v>
      </c>
      <c r="C49" s="11"/>
      <c r="D49" s="11" t="s">
        <v>13</v>
      </c>
      <c r="E49" s="12">
        <f ca="1">BTotalF(File0,$A49,$D49)</f>
        <v>-5909.09</v>
      </c>
      <c r="F49" s="12">
        <f t="shared" ref="F49:F50" ca="1" si="21">BTotal($A49,$D49)</f>
        <v>-5909.09</v>
      </c>
      <c r="G49" s="12">
        <v>-5909.09</v>
      </c>
      <c r="H49" s="34">
        <f t="shared" ca="1" si="19"/>
        <v>0</v>
      </c>
      <c r="I49">
        <f t="shared" ca="1" si="20"/>
        <v>0</v>
      </c>
    </row>
    <row r="50" spans="1:9" s="7" customFormat="1" x14ac:dyDescent="0.25">
      <c r="A50" s="10">
        <v>4100</v>
      </c>
      <c r="B50" s="11" t="str">
        <f ca="1">BAccountDescriptionF(File0,A50)</f>
        <v>Income from sales</v>
      </c>
      <c r="C50" s="11"/>
      <c r="D50" s="11" t="s">
        <v>1</v>
      </c>
      <c r="E50" s="12">
        <f ca="1">BTotalF(File0,$A50,$D50)</f>
        <v>-8454.5400000000009</v>
      </c>
      <c r="F50" s="12">
        <f t="shared" ca="1" si="21"/>
        <v>-8454.5400000000009</v>
      </c>
      <c r="G50" s="12">
        <v>-8454.5400000000009</v>
      </c>
      <c r="H50" s="34">
        <f t="shared" ca="1" si="19"/>
        <v>0</v>
      </c>
      <c r="I50">
        <f t="shared" ca="1" si="20"/>
        <v>0</v>
      </c>
    </row>
    <row r="51" spans="1:9" s="7" customFormat="1" x14ac:dyDescent="0.25">
      <c r="A51" s="10"/>
      <c r="B51" s="11"/>
      <c r="C51" s="11"/>
      <c r="D51" s="11"/>
      <c r="E51" s="12"/>
      <c r="F51" s="12"/>
      <c r="G51" s="12"/>
      <c r="H51" s="34">
        <f t="shared" si="19"/>
        <v>0</v>
      </c>
      <c r="I51">
        <f t="shared" si="20"/>
        <v>0</v>
      </c>
    </row>
    <row r="52" spans="1:9" s="7" customFormat="1" x14ac:dyDescent="0.25">
      <c r="A52" s="11" t="s">
        <v>34</v>
      </c>
      <c r="B52" s="11" t="str">
        <f ca="1">BAccountDescriptionF(File0,A52)</f>
        <v>Total EXPENSES</v>
      </c>
      <c r="C52" s="11"/>
      <c r="D52" s="11"/>
      <c r="E52" s="12">
        <f ca="1">BTotalF(File0,$A52,$D52)</f>
        <v>8340.91</v>
      </c>
      <c r="F52" s="12">
        <f ca="1">BTotal($A52,$D52)</f>
        <v>8340.91</v>
      </c>
      <c r="G52" s="12">
        <v>8340.91</v>
      </c>
      <c r="H52" s="34">
        <f t="shared" ca="1" si="19"/>
        <v>0</v>
      </c>
      <c r="I52">
        <f t="shared" ca="1" si="20"/>
        <v>0</v>
      </c>
    </row>
    <row r="53" spans="1:9" s="7" customFormat="1" x14ac:dyDescent="0.25">
      <c r="A53" s="11" t="s">
        <v>34</v>
      </c>
      <c r="B53" s="11" t="str">
        <f ca="1">BAccountDescriptionF(File0,A53)</f>
        <v>Total EXPENSES</v>
      </c>
      <c r="C53" s="11"/>
      <c r="D53" s="11" t="s">
        <v>13</v>
      </c>
      <c r="E53" s="12">
        <f ca="1">BTotalF(File0,$A53,$D53)</f>
        <v>1077.27</v>
      </c>
      <c r="F53" s="12">
        <f t="shared" ref="F53:F54" ca="1" si="22">BTotal($A53,$D53)</f>
        <v>1077.27</v>
      </c>
      <c r="G53" s="12">
        <v>1077.27</v>
      </c>
      <c r="H53" s="34">
        <f t="shared" ca="1" si="19"/>
        <v>0</v>
      </c>
      <c r="I53">
        <f t="shared" ca="1" si="20"/>
        <v>0</v>
      </c>
    </row>
    <row r="54" spans="1:9" s="7" customFormat="1" x14ac:dyDescent="0.25">
      <c r="A54" s="11" t="s">
        <v>34</v>
      </c>
      <c r="B54" s="11" t="str">
        <f ca="1">BAccountDescriptionF(File0,A54)</f>
        <v>Total EXPENSES</v>
      </c>
      <c r="C54" s="11"/>
      <c r="D54" s="11" t="s">
        <v>1</v>
      </c>
      <c r="E54" s="12">
        <f ca="1">BTotalF(File0,$A54,$D54)</f>
        <v>8340.91</v>
      </c>
      <c r="F54" s="12">
        <f t="shared" ca="1" si="22"/>
        <v>8340.91</v>
      </c>
      <c r="G54" s="12">
        <v>8340.91</v>
      </c>
      <c r="H54" s="34">
        <f t="shared" ca="1" si="19"/>
        <v>0</v>
      </c>
      <c r="I54">
        <f t="shared" ca="1" si="20"/>
        <v>0</v>
      </c>
    </row>
    <row r="55" spans="1:9" s="7" customFormat="1" x14ac:dyDescent="0.25">
      <c r="A55" s="10"/>
      <c r="B55" s="11"/>
      <c r="C55" s="11"/>
      <c r="D55" s="11"/>
      <c r="E55" s="12"/>
      <c r="F55" s="12"/>
      <c r="G55" s="12"/>
      <c r="H55" s="34">
        <f t="shared" si="19"/>
        <v>0</v>
      </c>
      <c r="I55">
        <f t="shared" si="20"/>
        <v>0</v>
      </c>
    </row>
    <row r="56" spans="1:9" s="7" customFormat="1" x14ac:dyDescent="0.25">
      <c r="A56" s="11" t="s">
        <v>35</v>
      </c>
      <c r="B56" s="11" t="str">
        <f ca="1">BAccountDescriptionF(File0,A56)</f>
        <v>Total INCOME</v>
      </c>
      <c r="C56" s="11"/>
      <c r="D56" s="11"/>
      <c r="E56" s="12">
        <f ca="1">BTotalF(File0,$A56,$D56)</f>
        <v>-8454.5400000000009</v>
      </c>
      <c r="F56" s="12">
        <f ca="1">BTotal($A56,$D56)</f>
        <v>-8454.5400000000009</v>
      </c>
      <c r="G56" s="12">
        <v>-8454.5400000000009</v>
      </c>
      <c r="H56" s="34">
        <f t="shared" ca="1" si="19"/>
        <v>0</v>
      </c>
      <c r="I56">
        <f t="shared" ca="1" si="20"/>
        <v>0</v>
      </c>
    </row>
    <row r="57" spans="1:9" s="7" customFormat="1" x14ac:dyDescent="0.25">
      <c r="A57" s="11" t="s">
        <v>35</v>
      </c>
      <c r="B57" s="11" t="str">
        <f ca="1">BAccountDescriptionF(File0,A57)</f>
        <v>Total INCOME</v>
      </c>
      <c r="C57" s="11"/>
      <c r="D57" s="11" t="s">
        <v>13</v>
      </c>
      <c r="E57" s="12">
        <f ca="1">BTotalF(File0,$A57,$D57)</f>
        <v>-5909.09</v>
      </c>
      <c r="F57" s="12">
        <f t="shared" ref="F57:F58" ca="1" si="23">BTotal($A57,$D57)</f>
        <v>-5909.09</v>
      </c>
      <c r="G57" s="12">
        <v>-5909.09</v>
      </c>
      <c r="H57" s="34">
        <f t="shared" ca="1" si="19"/>
        <v>0</v>
      </c>
      <c r="I57">
        <f t="shared" ca="1" si="20"/>
        <v>0</v>
      </c>
    </row>
    <row r="58" spans="1:9" s="7" customFormat="1" x14ac:dyDescent="0.25">
      <c r="A58" s="11" t="s">
        <v>35</v>
      </c>
      <c r="B58" s="11" t="str">
        <f ca="1">BAccountDescriptionF(File0,A58)</f>
        <v>Total INCOME</v>
      </c>
      <c r="C58" s="11"/>
      <c r="D58" s="11" t="s">
        <v>1</v>
      </c>
      <c r="E58" s="12">
        <f ca="1">BTotalF(File0,$A58,$D58)</f>
        <v>-8454.5400000000009</v>
      </c>
      <c r="F58" s="12">
        <f t="shared" ca="1" si="23"/>
        <v>-8454.5400000000009</v>
      </c>
      <c r="G58" s="12">
        <v>-8454.5400000000009</v>
      </c>
      <c r="H58" s="34">
        <f t="shared" ca="1" si="19"/>
        <v>0</v>
      </c>
      <c r="I58">
        <f t="shared" ca="1" si="20"/>
        <v>0</v>
      </c>
    </row>
    <row r="59" spans="1:9" s="7" customFormat="1" x14ac:dyDescent="0.25">
      <c r="A59" s="10"/>
      <c r="B59" s="11"/>
      <c r="C59" s="11"/>
      <c r="E59" s="12"/>
      <c r="F59" s="12"/>
      <c r="G59" s="12"/>
      <c r="H59" s="34">
        <f t="shared" si="19"/>
        <v>0</v>
      </c>
      <c r="I59">
        <f t="shared" si="20"/>
        <v>0</v>
      </c>
    </row>
    <row r="60" spans="1:9" s="7" customFormat="1" x14ac:dyDescent="0.25">
      <c r="A60" s="10"/>
      <c r="B60" s="13" t="s">
        <v>37</v>
      </c>
      <c r="C60" s="11"/>
      <c r="D60" s="11"/>
      <c r="E60" s="12"/>
      <c r="F60" s="12"/>
      <c r="G60" s="12"/>
      <c r="H60" s="34">
        <f t="shared" si="19"/>
        <v>0</v>
      </c>
      <c r="I60">
        <f t="shared" si="20"/>
        <v>0</v>
      </c>
    </row>
    <row r="61" spans="1:9" s="7" customFormat="1" x14ac:dyDescent="0.25">
      <c r="A61" s="10">
        <v>1000</v>
      </c>
      <c r="B61" s="11" t="str">
        <f ca="1">BAccountDescriptionF(File0,A61)</f>
        <v xml:space="preserve">Cash </v>
      </c>
      <c r="C61" s="11">
        <v>5</v>
      </c>
      <c r="D61" s="11"/>
      <c r="E61" s="12">
        <f ca="1">BInterestF(File0,$A61,$C61,$D61)</f>
        <v>1580.92</v>
      </c>
      <c r="F61" s="12">
        <f ca="1">BInterest($A61,$C61,$D61)</f>
        <v>1580.92</v>
      </c>
      <c r="G61" s="12">
        <v>1580.92</v>
      </c>
      <c r="H61" s="34">
        <f t="shared" ca="1" si="19"/>
        <v>0</v>
      </c>
      <c r="I61">
        <f t="shared" ca="1" si="20"/>
        <v>0</v>
      </c>
    </row>
    <row r="62" spans="1:9" s="7" customFormat="1" x14ac:dyDescent="0.25">
      <c r="A62" s="10">
        <v>1000</v>
      </c>
      <c r="B62" s="11" t="str">
        <f ca="1">BAccountDescriptionF(File0,A62)</f>
        <v xml:space="preserve">Cash </v>
      </c>
      <c r="C62" s="11">
        <v>5</v>
      </c>
      <c r="D62" s="11" t="s">
        <v>13</v>
      </c>
      <c r="E62" s="12">
        <f ca="1">BInterestF(File0,$A62,$C62,$D62)</f>
        <v>116.33</v>
      </c>
      <c r="F62" s="12">
        <f t="shared" ref="F62:F63" ca="1" si="24">BInterest($A62,$C62,$D62)</f>
        <v>116.33</v>
      </c>
      <c r="G62" s="7">
        <v>116.33</v>
      </c>
      <c r="H62" s="34">
        <f t="shared" ca="1" si="19"/>
        <v>0</v>
      </c>
      <c r="I62">
        <f t="shared" ca="1" si="20"/>
        <v>0</v>
      </c>
    </row>
    <row r="63" spans="1:9" s="7" customFormat="1" x14ac:dyDescent="0.25">
      <c r="A63" s="10">
        <v>1000</v>
      </c>
      <c r="B63" s="11" t="str">
        <f ca="1">BAccountDescriptionF(File0,A63)</f>
        <v xml:space="preserve">Cash </v>
      </c>
      <c r="C63" s="11">
        <v>5</v>
      </c>
      <c r="D63" s="11" t="s">
        <v>1</v>
      </c>
      <c r="E63" s="12">
        <f ca="1">BInterestF(File0,$A63,$C63,$D63)</f>
        <v>377.7</v>
      </c>
      <c r="F63" s="12">
        <f t="shared" ca="1" si="24"/>
        <v>377.7</v>
      </c>
      <c r="G63" s="12">
        <v>377.7</v>
      </c>
      <c r="H63" s="34">
        <f t="shared" ca="1" si="19"/>
        <v>0</v>
      </c>
      <c r="I63">
        <f t="shared" ca="1" si="20"/>
        <v>0</v>
      </c>
    </row>
    <row r="64" spans="1:9" s="7" customFormat="1" x14ac:dyDescent="0.25">
      <c r="A64" s="10"/>
      <c r="B64" s="11"/>
      <c r="C64" s="11"/>
      <c r="E64" s="12"/>
      <c r="F64" s="12"/>
      <c r="G64" s="12"/>
      <c r="H64" s="34">
        <f t="shared" si="19"/>
        <v>0</v>
      </c>
      <c r="I64">
        <f t="shared" si="20"/>
        <v>0</v>
      </c>
    </row>
    <row r="65" spans="1:9" s="7" customFormat="1" x14ac:dyDescent="0.25">
      <c r="A65" s="10">
        <v>2000</v>
      </c>
      <c r="B65" s="11" t="str">
        <f ca="1">BAccountDescriptionF(File0,A65)</f>
        <v>Supplier</v>
      </c>
      <c r="C65" s="11">
        <v>-5</v>
      </c>
      <c r="D65" s="11"/>
      <c r="E65" s="12">
        <f ca="1">BInterestF(File0,$A65,$C65,$D65)</f>
        <v>232.45</v>
      </c>
      <c r="F65" s="12">
        <f ca="1">BInterest($A65,$C65,$D65)</f>
        <v>232.45</v>
      </c>
      <c r="G65" s="12">
        <v>232.45</v>
      </c>
      <c r="H65" s="34">
        <f t="shared" ca="1" si="19"/>
        <v>0</v>
      </c>
      <c r="I65">
        <f t="shared" ca="1" si="20"/>
        <v>0</v>
      </c>
    </row>
    <row r="66" spans="1:9" s="7" customFormat="1" x14ac:dyDescent="0.25">
      <c r="A66" s="10">
        <v>2000</v>
      </c>
      <c r="B66" s="11" t="str">
        <f ca="1">BAccountDescriptionF(File0,A66)</f>
        <v>Supplier</v>
      </c>
      <c r="C66" s="11">
        <v>-5</v>
      </c>
      <c r="D66" s="11" t="s">
        <v>13</v>
      </c>
      <c r="E66" s="12">
        <f ca="1">BInterestF(File0,$A66,$C66,$D66)</f>
        <v>6.23</v>
      </c>
      <c r="F66" s="12">
        <f t="shared" ref="F66:F67" ca="1" si="25">BInterest($A66,$C66,$D66)</f>
        <v>6.23</v>
      </c>
      <c r="G66" s="12">
        <v>6.23</v>
      </c>
      <c r="H66" s="34">
        <f t="shared" ca="1" si="19"/>
        <v>0</v>
      </c>
      <c r="I66">
        <f t="shared" ca="1" si="20"/>
        <v>0</v>
      </c>
    </row>
    <row r="67" spans="1:9" s="7" customFormat="1" x14ac:dyDescent="0.25">
      <c r="A67" s="10">
        <v>2000</v>
      </c>
      <c r="B67" s="11" t="str">
        <f ca="1">BAccountDescriptionF(File0,A67)</f>
        <v>Supplier</v>
      </c>
      <c r="C67" s="11">
        <v>-5</v>
      </c>
      <c r="D67" s="11" t="s">
        <v>1</v>
      </c>
      <c r="E67" s="12">
        <f ca="1">BInterestF(File0,$A67,$C67,$D67)</f>
        <v>32.79</v>
      </c>
      <c r="F67" s="12">
        <f t="shared" ca="1" si="25"/>
        <v>32.79</v>
      </c>
      <c r="G67" s="12">
        <v>32.79</v>
      </c>
      <c r="H67" s="34">
        <f t="shared" ca="1" si="19"/>
        <v>0</v>
      </c>
      <c r="I67">
        <f t="shared" ca="1" si="20"/>
        <v>0</v>
      </c>
    </row>
    <row r="68" spans="1:9" s="7" customFormat="1" x14ac:dyDescent="0.25">
      <c r="A68" s="10"/>
      <c r="B68" s="11"/>
      <c r="C68" s="11"/>
      <c r="E68" s="12"/>
      <c r="F68" s="12"/>
      <c r="G68" s="12"/>
      <c r="H68" s="34">
        <f t="shared" si="19"/>
        <v>0</v>
      </c>
      <c r="I68">
        <f t="shared" si="20"/>
        <v>0</v>
      </c>
    </row>
    <row r="69" spans="1:9" s="7" customFormat="1" x14ac:dyDescent="0.25">
      <c r="A69" s="10"/>
      <c r="B69" s="13" t="s">
        <v>63</v>
      </c>
      <c r="C69" s="13"/>
      <c r="D69" s="13"/>
      <c r="E69" s="12"/>
      <c r="F69" s="12"/>
      <c r="G69" s="12"/>
      <c r="H69" s="34">
        <f t="shared" si="19"/>
        <v>0</v>
      </c>
      <c r="I69">
        <f t="shared" si="20"/>
        <v>0</v>
      </c>
    </row>
    <row r="70" spans="1:9" s="7" customFormat="1" x14ac:dyDescent="0.25">
      <c r="A70" s="10" t="s">
        <v>11</v>
      </c>
      <c r="B70" s="11" t="str">
        <f ca="1">BVatDescriptionF(File0, A70)</f>
        <v>Sales at 10%</v>
      </c>
      <c r="C70" s="11"/>
      <c r="D70" s="11"/>
      <c r="E70" s="12">
        <f ca="1">BVatBalanceF(File0,$A70,"taxable",$D70)</f>
        <v>-8454.5400000000009</v>
      </c>
      <c r="F70" s="12">
        <f ca="1">BVatBalance($A70,"taxable",$D70)</f>
        <v>-8454.5400000000009</v>
      </c>
      <c r="G70" s="12">
        <v>-8454.5400000000009</v>
      </c>
      <c r="H70" s="34">
        <f t="shared" ca="1" si="19"/>
        <v>0</v>
      </c>
      <c r="I70">
        <f t="shared" ca="1" si="20"/>
        <v>0</v>
      </c>
    </row>
    <row r="71" spans="1:9" s="7" customFormat="1" x14ac:dyDescent="0.25">
      <c r="A71" s="10" t="s">
        <v>11</v>
      </c>
      <c r="B71" s="11" t="str">
        <f ca="1">BVatDescriptionF(File0, A71)</f>
        <v>Sales at 10%</v>
      </c>
      <c r="C71" s="11"/>
      <c r="D71" s="11" t="s">
        <v>13</v>
      </c>
      <c r="E71" s="12">
        <f ca="1">BVatBalanceF(File0,$A71,"taxable",$D71)</f>
        <v>-5909.09</v>
      </c>
      <c r="F71" s="12">
        <f t="shared" ref="F71:F72" ca="1" si="26">BVatBalance($A71,"taxable",$D71)</f>
        <v>-5909.09</v>
      </c>
      <c r="G71" s="12">
        <v>-5909.09</v>
      </c>
      <c r="H71" s="34">
        <f t="shared" ca="1" si="19"/>
        <v>0</v>
      </c>
      <c r="I71">
        <f t="shared" ca="1" si="20"/>
        <v>0</v>
      </c>
    </row>
    <row r="72" spans="1:9" s="7" customFormat="1" x14ac:dyDescent="0.25">
      <c r="A72" s="10" t="s">
        <v>11</v>
      </c>
      <c r="B72" s="11" t="str">
        <f ca="1">BVatDescriptionF(File0, A72)</f>
        <v>Sales at 10%</v>
      </c>
      <c r="C72" s="11"/>
      <c r="D72" s="11" t="s">
        <v>1</v>
      </c>
      <c r="E72" s="12">
        <f ca="1">BVatBalanceF(File0,$A72,"taxable",$D72)</f>
        <v>-8454.5400000000009</v>
      </c>
      <c r="F72" s="12">
        <f t="shared" ca="1" si="26"/>
        <v>-8454.5400000000009</v>
      </c>
      <c r="G72" s="12">
        <v>-8454.5400000000009</v>
      </c>
      <c r="H72" s="34">
        <f t="shared" ca="1" si="19"/>
        <v>0</v>
      </c>
      <c r="I72">
        <f t="shared" ca="1" si="20"/>
        <v>0</v>
      </c>
    </row>
    <row r="73" spans="1:9" s="7" customFormat="1" x14ac:dyDescent="0.25">
      <c r="A73" s="10"/>
      <c r="B73" s="11"/>
      <c r="C73" s="11"/>
      <c r="D73" s="11"/>
      <c r="E73" s="12"/>
      <c r="F73" s="12"/>
      <c r="G73" s="12"/>
      <c r="H73" s="34">
        <f t="shared" si="19"/>
        <v>0</v>
      </c>
      <c r="I73">
        <f t="shared" si="20"/>
        <v>0</v>
      </c>
    </row>
    <row r="74" spans="1:9" ht="15.75" x14ac:dyDescent="0.25">
      <c r="B74" s="36" t="s">
        <v>64</v>
      </c>
      <c r="D74" s="11"/>
      <c r="E74" s="28"/>
      <c r="F74" s="28"/>
      <c r="G74" s="28"/>
      <c r="H74" s="34">
        <f t="shared" si="19"/>
        <v>0</v>
      </c>
      <c r="I74">
        <f t="shared" si="20"/>
        <v>0</v>
      </c>
    </row>
    <row r="75" spans="1:9" x14ac:dyDescent="0.25">
      <c r="A75" s="8"/>
      <c r="B75" s="17" t="s">
        <v>10</v>
      </c>
      <c r="C75" s="17"/>
      <c r="E75" s="9"/>
      <c r="F75" s="9"/>
      <c r="G75" s="9"/>
      <c r="H75" s="34">
        <f t="shared" si="19"/>
        <v>0</v>
      </c>
      <c r="I75">
        <f t="shared" si="20"/>
        <v>0</v>
      </c>
    </row>
    <row r="76" spans="1:9" x14ac:dyDescent="0.25">
      <c r="A76" s="10">
        <v>1000</v>
      </c>
      <c r="B76" s="11" t="str">
        <f ca="1">BAccountDescriptionF(File0,A76)</f>
        <v xml:space="preserve">Cash </v>
      </c>
      <c r="C76" s="11"/>
      <c r="D76" s="11"/>
      <c r="E76" s="12">
        <f ca="1">BBudgetOpeningF(File0,$A76)</f>
        <v>17570</v>
      </c>
      <c r="F76" s="12">
        <f ca="1">BBudgetOpening($A76)</f>
        <v>17570</v>
      </c>
      <c r="G76" s="12">
        <v>17570</v>
      </c>
      <c r="H76" s="34">
        <f t="shared" ca="1" si="19"/>
        <v>0</v>
      </c>
      <c r="I76">
        <f t="shared" ca="1" si="20"/>
        <v>0</v>
      </c>
    </row>
    <row r="77" spans="1:9" x14ac:dyDescent="0.25">
      <c r="A77" s="10">
        <v>1000</v>
      </c>
      <c r="B77" s="11" t="str">
        <f ca="1">BAccountDescriptionF(File0,A77)</f>
        <v xml:space="preserve">Cash </v>
      </c>
      <c r="C77" s="11"/>
      <c r="D77" s="11" t="s">
        <v>13</v>
      </c>
      <c r="E77" s="12">
        <f ca="1">BBudgetOpeningF(File0,$A76,$D77)</f>
        <v>17570</v>
      </c>
      <c r="F77" s="12">
        <f ca="1">BBudgetOpening($A76,$D77)</f>
        <v>17570</v>
      </c>
      <c r="G77" s="12">
        <v>17570</v>
      </c>
      <c r="H77" s="34">
        <f t="shared" ca="1" si="19"/>
        <v>0</v>
      </c>
      <c r="I77">
        <f t="shared" ca="1" si="20"/>
        <v>0</v>
      </c>
    </row>
    <row r="78" spans="1:9" x14ac:dyDescent="0.25">
      <c r="A78" s="10">
        <v>1000</v>
      </c>
      <c r="B78" s="11" t="str">
        <f ca="1">BAccountDescriptionF(File0,A78)</f>
        <v xml:space="preserve">Cash </v>
      </c>
      <c r="C78" s="11"/>
      <c r="D78" s="11" t="s">
        <v>1</v>
      </c>
      <c r="E78" s="12">
        <f ca="1">BBudgetOpeningF(File0,$A76,$D78)</f>
        <v>17570</v>
      </c>
      <c r="F78" s="12">
        <f ca="1">BBudgetOpening($A77,$D78)</f>
        <v>17570</v>
      </c>
      <c r="G78" s="12">
        <v>17570</v>
      </c>
      <c r="H78" s="34">
        <f t="shared" ca="1" si="19"/>
        <v>0</v>
      </c>
      <c r="I78">
        <f t="shared" ca="1" si="20"/>
        <v>0</v>
      </c>
    </row>
    <row r="79" spans="1:9" x14ac:dyDescent="0.25">
      <c r="A79" s="8"/>
      <c r="B79" s="17" t="s">
        <v>7</v>
      </c>
      <c r="C79" s="8"/>
      <c r="D79" s="11"/>
      <c r="H79" s="34">
        <f t="shared" si="19"/>
        <v>0</v>
      </c>
      <c r="I79">
        <f t="shared" si="20"/>
        <v>0</v>
      </c>
    </row>
    <row r="80" spans="1:9" x14ac:dyDescent="0.25">
      <c r="A80" s="10">
        <v>1000</v>
      </c>
      <c r="B80" s="11" t="str">
        <f ca="1">BAccountDescriptionF(File0,A80)</f>
        <v xml:space="preserve">Cash </v>
      </c>
      <c r="C80" s="8"/>
      <c r="D80" s="11"/>
      <c r="E80" s="12">
        <f ca="1">BBudgetBalanceF(File0,$A80,$D80)</f>
        <v>127370</v>
      </c>
      <c r="F80" s="12">
        <f ca="1">BBudgetBalance($A80,$D80)</f>
        <v>127370</v>
      </c>
      <c r="G80" s="12">
        <v>127370</v>
      </c>
      <c r="H80" s="34">
        <f t="shared" ca="1" si="19"/>
        <v>0</v>
      </c>
      <c r="I80">
        <f t="shared" ca="1" si="20"/>
        <v>0</v>
      </c>
    </row>
    <row r="81" spans="1:9" x14ac:dyDescent="0.25">
      <c r="A81" s="10">
        <v>1000</v>
      </c>
      <c r="B81" s="11" t="str">
        <f ca="1">BAccountDescriptionF(File0,A81)</f>
        <v xml:space="preserve">Cash </v>
      </c>
      <c r="C81" s="8"/>
      <c r="D81" s="11" t="s">
        <v>13</v>
      </c>
      <c r="E81" s="12">
        <f ca="1">BBudgetBalanceF(File0,$A81,D81)</f>
        <v>26720</v>
      </c>
      <c r="F81" s="12">
        <f ca="1">BBudgetBalance($A81,$D81)</f>
        <v>26720</v>
      </c>
      <c r="G81" s="12">
        <v>26720</v>
      </c>
      <c r="H81" s="34">
        <f t="shared" ca="1" si="19"/>
        <v>0</v>
      </c>
      <c r="I81">
        <f t="shared" ca="1" si="20"/>
        <v>0</v>
      </c>
    </row>
    <row r="82" spans="1:9" x14ac:dyDescent="0.25">
      <c r="A82" s="10">
        <v>1000</v>
      </c>
      <c r="B82" s="11" t="str">
        <f ca="1">BAccountDescriptionF(File0,A82)</f>
        <v xml:space="preserve">Cash </v>
      </c>
      <c r="C82" s="8"/>
      <c r="D82" s="11" t="s">
        <v>1</v>
      </c>
      <c r="E82" s="12">
        <f ca="1">BBudgetBalanceF(File0,$A82,D82)</f>
        <v>45020</v>
      </c>
      <c r="F82" s="12">
        <f ca="1">BBudgetBalance($A82,$D82)</f>
        <v>45020</v>
      </c>
      <c r="G82" s="12">
        <v>45020</v>
      </c>
      <c r="H82" s="34">
        <f t="shared" ca="1" si="19"/>
        <v>0</v>
      </c>
      <c r="I82">
        <f t="shared" ca="1" si="20"/>
        <v>0</v>
      </c>
    </row>
    <row r="83" spans="1:9" x14ac:dyDescent="0.25">
      <c r="A83" s="10"/>
      <c r="B83" s="13" t="s">
        <v>15</v>
      </c>
      <c r="C83" s="8"/>
      <c r="D83" s="11"/>
      <c r="E83" s="12"/>
      <c r="F83" s="12"/>
      <c r="G83" s="12"/>
      <c r="H83" s="34">
        <f t="shared" si="19"/>
        <v>0</v>
      </c>
      <c r="I83">
        <f t="shared" si="20"/>
        <v>0</v>
      </c>
    </row>
    <row r="84" spans="1:9" x14ac:dyDescent="0.25">
      <c r="A84" s="10">
        <v>1000</v>
      </c>
      <c r="B84" s="11" t="str">
        <f ca="1">BAccountDescriptionF(File0,A84)</f>
        <v xml:space="preserve">Cash </v>
      </c>
      <c r="C84" s="8"/>
      <c r="D84" s="11"/>
      <c r="E84" s="12">
        <f ca="1">BBudgetAmountF(File0,$A84,$D84)</f>
        <v>127370</v>
      </c>
      <c r="F84" s="12">
        <f ca="1">BBudgetAmount($A84,$D84)</f>
        <v>127370</v>
      </c>
      <c r="G84" s="12">
        <v>127370</v>
      </c>
      <c r="H84" s="34">
        <f t="shared" ca="1" si="19"/>
        <v>0</v>
      </c>
      <c r="I84">
        <f t="shared" ca="1" si="20"/>
        <v>0</v>
      </c>
    </row>
    <row r="85" spans="1:9" x14ac:dyDescent="0.25">
      <c r="A85" s="10">
        <v>1000</v>
      </c>
      <c r="B85" s="11" t="str">
        <f ca="1">BAccountDescriptionF(File0,A85)</f>
        <v xml:space="preserve">Cash </v>
      </c>
      <c r="C85" s="8"/>
      <c r="D85" s="11" t="s">
        <v>13</v>
      </c>
      <c r="E85" s="12">
        <f ca="1">BBudgetAmountF(File0,$A85,$D85)</f>
        <v>26720</v>
      </c>
      <c r="F85" s="12">
        <f ca="1">BBudgetAmount($A85,$D85)</f>
        <v>26720</v>
      </c>
      <c r="G85" s="12">
        <v>26720</v>
      </c>
      <c r="H85" s="34">
        <f t="shared" ca="1" si="19"/>
        <v>0</v>
      </c>
      <c r="I85">
        <f t="shared" ca="1" si="20"/>
        <v>0</v>
      </c>
    </row>
    <row r="86" spans="1:9" x14ac:dyDescent="0.25">
      <c r="A86" s="10">
        <v>1000</v>
      </c>
      <c r="B86" s="11" t="str">
        <f ca="1">BAccountDescriptionF(File0,A86)</f>
        <v xml:space="preserve">Cash </v>
      </c>
      <c r="C86" s="8"/>
      <c r="D86" s="11" t="s">
        <v>1</v>
      </c>
      <c r="E86" s="12">
        <f ca="1">BBudgetAmountF(File0,$A86,$D86)</f>
        <v>45020</v>
      </c>
      <c r="F86" s="12">
        <f ca="1">BBudgetAmount($A86,$D86)</f>
        <v>45020</v>
      </c>
      <c r="G86" s="12">
        <v>45020</v>
      </c>
      <c r="H86" s="34">
        <f t="shared" ca="1" si="19"/>
        <v>0</v>
      </c>
      <c r="I86">
        <f t="shared" ca="1" si="20"/>
        <v>0</v>
      </c>
    </row>
    <row r="87" spans="1:9" x14ac:dyDescent="0.25">
      <c r="A87" s="10"/>
      <c r="B87" s="11"/>
      <c r="C87" s="8"/>
      <c r="D87" s="11"/>
      <c r="E87" s="12"/>
      <c r="F87" s="12"/>
      <c r="G87" s="12"/>
      <c r="H87" s="34">
        <f t="shared" si="19"/>
        <v>0</v>
      </c>
      <c r="I87">
        <f t="shared" si="20"/>
        <v>0</v>
      </c>
    </row>
    <row r="88" spans="1:9" x14ac:dyDescent="0.25">
      <c r="A88" s="10">
        <v>2000</v>
      </c>
      <c r="B88" s="11" t="str">
        <f ca="1">BAccountDescriptionF(File0,A88)</f>
        <v>Supplier</v>
      </c>
      <c r="C88" s="8"/>
      <c r="D88" s="11"/>
      <c r="E88" s="12">
        <f ca="1">BBudgetAmountF(File0,$A88,$D88)</f>
        <v>6500</v>
      </c>
      <c r="F88" s="12">
        <f ca="1">BBudgetAmount($A88,$D88)</f>
        <v>6500</v>
      </c>
      <c r="G88" s="12">
        <v>6500</v>
      </c>
      <c r="H88" s="34">
        <f t="shared" ca="1" si="19"/>
        <v>0</v>
      </c>
      <c r="I88">
        <f t="shared" ca="1" si="20"/>
        <v>0</v>
      </c>
    </row>
    <row r="89" spans="1:9" x14ac:dyDescent="0.25">
      <c r="A89" s="10">
        <v>2000</v>
      </c>
      <c r="B89" s="11" t="str">
        <f ca="1">BAccountDescriptionF(File0,A89)</f>
        <v>Supplier</v>
      </c>
      <c r="C89" s="8"/>
      <c r="D89" s="11" t="s">
        <v>13</v>
      </c>
      <c r="E89" s="12">
        <f ca="1">BBudgetAmountF(File0,$A89,$D89)</f>
        <v>6500</v>
      </c>
      <c r="F89" s="12">
        <f ca="1">BBudgetAmount($A89,$D89)</f>
        <v>6500</v>
      </c>
      <c r="G89" s="12">
        <v>6500</v>
      </c>
      <c r="H89" s="34">
        <f t="shared" ca="1" si="19"/>
        <v>0</v>
      </c>
      <c r="I89">
        <f t="shared" ca="1" si="20"/>
        <v>0</v>
      </c>
    </row>
    <row r="90" spans="1:9" x14ac:dyDescent="0.25">
      <c r="A90" s="10">
        <v>2000</v>
      </c>
      <c r="B90" s="11" t="str">
        <f ca="1">BAccountDescriptionF(File0,A90)</f>
        <v>Supplier</v>
      </c>
      <c r="C90" s="8"/>
      <c r="D90" s="11" t="s">
        <v>1</v>
      </c>
      <c r="E90" s="12">
        <f ca="1">BBudgetAmountF(File0,$A90,$D90)</f>
        <v>6500</v>
      </c>
      <c r="F90" s="12">
        <f ca="1">BBudgetAmount($A90,$D90)</f>
        <v>6500</v>
      </c>
      <c r="G90" s="12">
        <v>6500</v>
      </c>
      <c r="H90" s="34">
        <f t="shared" ca="1" si="19"/>
        <v>0</v>
      </c>
      <c r="I90">
        <f t="shared" ca="1" si="20"/>
        <v>0</v>
      </c>
    </row>
    <row r="91" spans="1:9" x14ac:dyDescent="0.25">
      <c r="A91" s="10"/>
      <c r="B91" s="11"/>
      <c r="C91" s="8"/>
      <c r="D91" s="11"/>
      <c r="E91" s="12"/>
      <c r="F91" s="12"/>
      <c r="G91" s="12"/>
      <c r="H91" s="34">
        <f t="shared" si="19"/>
        <v>0</v>
      </c>
      <c r="I91">
        <f t="shared" si="20"/>
        <v>0</v>
      </c>
    </row>
    <row r="92" spans="1:9" x14ac:dyDescent="0.25">
      <c r="A92" s="10">
        <v>3000</v>
      </c>
      <c r="B92" s="11" t="str">
        <f ca="1">BAccountDescriptionF(File0,A92)</f>
        <v>Purchase goods for resale</v>
      </c>
      <c r="C92" s="8"/>
      <c r="D92" s="11"/>
      <c r="E92" s="12">
        <f ca="1">BBudgetAmountF(File0,$A92,$D92)</f>
        <v>1200</v>
      </c>
      <c r="F92" s="12">
        <f ca="1">BBudgetAmount($A92,$D92)</f>
        <v>1200</v>
      </c>
      <c r="G92" s="12">
        <v>1200</v>
      </c>
      <c r="H92" s="34">
        <f t="shared" ca="1" si="19"/>
        <v>0</v>
      </c>
      <c r="I92">
        <f t="shared" ca="1" si="20"/>
        <v>0</v>
      </c>
    </row>
    <row r="93" spans="1:9" x14ac:dyDescent="0.25">
      <c r="A93" s="10">
        <v>3000</v>
      </c>
      <c r="B93" s="11" t="str">
        <f ca="1">BAccountDescriptionF(File0,A93)</f>
        <v>Purchase goods for resale</v>
      </c>
      <c r="C93" s="8"/>
      <c r="D93" s="11" t="s">
        <v>13</v>
      </c>
      <c r="E93" s="12">
        <f ca="1">BBudgetAmountF(File0,$A93,$D93)</f>
        <v>100</v>
      </c>
      <c r="F93" s="12">
        <f ca="1">BBudgetAmount($A93,$D93)</f>
        <v>100</v>
      </c>
      <c r="G93" s="12">
        <v>100</v>
      </c>
      <c r="H93" s="34">
        <f t="shared" ca="1" si="19"/>
        <v>0</v>
      </c>
      <c r="I93">
        <f t="shared" ca="1" si="20"/>
        <v>0</v>
      </c>
    </row>
    <row r="94" spans="1:9" x14ac:dyDescent="0.25">
      <c r="A94" s="10">
        <v>3000</v>
      </c>
      <c r="B94" s="11" t="str">
        <f ca="1">BAccountDescriptionF(File0,A94)</f>
        <v>Purchase goods for resale</v>
      </c>
      <c r="C94" s="8"/>
      <c r="D94" s="11" t="s">
        <v>1</v>
      </c>
      <c r="E94" s="12">
        <f ca="1">BBudgetAmountF(File0,$A94,$D94)</f>
        <v>300</v>
      </c>
      <c r="F94" s="12">
        <f ca="1">BBudgetAmount($A94,$D94)</f>
        <v>300</v>
      </c>
      <c r="G94" s="12">
        <v>300</v>
      </c>
      <c r="H94" s="34">
        <f t="shared" ca="1" si="19"/>
        <v>0</v>
      </c>
      <c r="I94">
        <f t="shared" ca="1" si="20"/>
        <v>0</v>
      </c>
    </row>
    <row r="95" spans="1:9" x14ac:dyDescent="0.25">
      <c r="A95" s="10"/>
      <c r="B95" s="11"/>
      <c r="C95" s="8"/>
      <c r="D95" s="11"/>
      <c r="E95" s="12"/>
      <c r="F95" s="12"/>
      <c r="G95" s="12"/>
      <c r="H95" s="34">
        <f t="shared" si="19"/>
        <v>0</v>
      </c>
      <c r="I95">
        <f t="shared" si="20"/>
        <v>0</v>
      </c>
    </row>
    <row r="96" spans="1:9" x14ac:dyDescent="0.25">
      <c r="A96" s="10">
        <v>4100</v>
      </c>
      <c r="B96" s="11" t="str">
        <f ca="1">BAccountDescriptionF(File0,A96)</f>
        <v>Income from sales</v>
      </c>
      <c r="C96" s="8"/>
      <c r="D96" s="11"/>
      <c r="E96" s="12">
        <f ca="1">BBudgetAmountF(File0,$A96,$D96)</f>
        <v>102272.76</v>
      </c>
      <c r="F96" s="12">
        <f ca="1">BBudgetAmount($A96,$D96)</f>
        <v>102272.76</v>
      </c>
      <c r="G96" s="12">
        <v>102272.76</v>
      </c>
      <c r="H96" s="34">
        <f t="shared" ca="1" si="19"/>
        <v>0</v>
      </c>
      <c r="I96">
        <f t="shared" ca="1" si="20"/>
        <v>0</v>
      </c>
    </row>
    <row r="97" spans="1:9" x14ac:dyDescent="0.25">
      <c r="A97" s="10">
        <v>4100</v>
      </c>
      <c r="B97" s="11" t="str">
        <f ca="1">BAccountDescriptionF(File0,A97)</f>
        <v>Income from sales</v>
      </c>
      <c r="C97" s="8"/>
      <c r="D97" s="11" t="s">
        <v>13</v>
      </c>
      <c r="E97" s="12">
        <f ca="1">BBudgetAmountF(File0,$A97,$D97)</f>
        <v>8522.73</v>
      </c>
      <c r="F97" s="12">
        <f ca="1">BBudgetAmount($A97,$D97)</f>
        <v>8522.73</v>
      </c>
      <c r="G97" s="12">
        <v>8522.73</v>
      </c>
      <c r="H97" s="34">
        <f t="shared" ca="1" si="19"/>
        <v>0</v>
      </c>
      <c r="I97">
        <f t="shared" ca="1" si="20"/>
        <v>0</v>
      </c>
    </row>
    <row r="98" spans="1:9" x14ac:dyDescent="0.25">
      <c r="A98" s="10">
        <v>4100</v>
      </c>
      <c r="B98" s="11" t="str">
        <f ca="1">BAccountDescriptionF(File0,A98)</f>
        <v>Income from sales</v>
      </c>
      <c r="C98" s="8"/>
      <c r="D98" s="11" t="s">
        <v>1</v>
      </c>
      <c r="E98" s="12">
        <f ca="1">BBudgetAmountF(File0,$A98,$D98)</f>
        <v>25568.19</v>
      </c>
      <c r="F98" s="12">
        <f ca="1">BBudgetAmount($A98,$D98)</f>
        <v>25568.19</v>
      </c>
      <c r="G98" s="12">
        <v>25568.19</v>
      </c>
      <c r="H98" s="34">
        <f t="shared" ca="1" si="19"/>
        <v>0</v>
      </c>
      <c r="I98">
        <f t="shared" ca="1" si="20"/>
        <v>0</v>
      </c>
    </row>
    <row r="99" spans="1:9" s="7" customFormat="1" x14ac:dyDescent="0.25">
      <c r="A99" s="10"/>
      <c r="B99" s="11"/>
      <c r="C99" s="11"/>
      <c r="D99" s="11"/>
      <c r="E99" s="12"/>
      <c r="F99" s="12"/>
      <c r="G99" s="12"/>
      <c r="H99" s="34">
        <f t="shared" si="19"/>
        <v>0</v>
      </c>
      <c r="I99">
        <f t="shared" si="20"/>
        <v>0</v>
      </c>
    </row>
    <row r="100" spans="1:9" s="7" customFormat="1" x14ac:dyDescent="0.25">
      <c r="A100" s="10" t="s">
        <v>9</v>
      </c>
      <c r="B100" s="11" t="s">
        <v>8</v>
      </c>
      <c r="C100" s="11"/>
      <c r="D100" s="11"/>
      <c r="E100" s="12">
        <f ca="1">BBudgetBalanceF(File0,$A100,$D100)</f>
        <v>116870</v>
      </c>
      <c r="F100" s="12">
        <f ca="1">BBudgetBalance($A100,$D100)</f>
        <v>116870</v>
      </c>
      <c r="G100" s="12">
        <v>116870</v>
      </c>
      <c r="H100" s="34">
        <f t="shared" ca="1" si="19"/>
        <v>0</v>
      </c>
      <c r="I100">
        <f t="shared" ca="1" si="20"/>
        <v>0</v>
      </c>
    </row>
    <row r="101" spans="1:9" s="7" customFormat="1" x14ac:dyDescent="0.25">
      <c r="A101" s="10" t="s">
        <v>9</v>
      </c>
      <c r="B101" s="11"/>
      <c r="C101" s="11"/>
      <c r="D101" s="11" t="s">
        <v>13</v>
      </c>
      <c r="E101" s="12">
        <f ca="1">BBudgetBalanceF(File0,$A101,$D101)</f>
        <v>27220</v>
      </c>
      <c r="F101" s="12">
        <f ca="1">BBudgetBalance($A101,$D101)</f>
        <v>27220</v>
      </c>
      <c r="G101" s="12">
        <v>27220</v>
      </c>
      <c r="H101" s="34">
        <f t="shared" ca="1" si="19"/>
        <v>0</v>
      </c>
      <c r="I101">
        <f t="shared" ca="1" si="20"/>
        <v>0</v>
      </c>
    </row>
    <row r="102" spans="1:9" s="7" customFormat="1" x14ac:dyDescent="0.25">
      <c r="A102" s="10" t="s">
        <v>9</v>
      </c>
      <c r="B102" s="11"/>
      <c r="C102" s="11"/>
      <c r="D102" s="11" t="s">
        <v>1</v>
      </c>
      <c r="E102" s="12">
        <f ca="1">BBudgetBalanceF(File0,$A102,$D102)</f>
        <v>43520</v>
      </c>
      <c r="F102" s="12">
        <f ca="1">BBudgetBalance($A102,$D102)</f>
        <v>43520</v>
      </c>
      <c r="G102" s="12">
        <v>43520</v>
      </c>
      <c r="H102" s="34">
        <f t="shared" ca="1" si="19"/>
        <v>0</v>
      </c>
      <c r="I102">
        <f t="shared" ca="1" si="20"/>
        <v>0</v>
      </c>
    </row>
    <row r="103" spans="1:9" s="7" customFormat="1" x14ac:dyDescent="0.25">
      <c r="A103" s="10"/>
      <c r="B103" s="11"/>
      <c r="C103" s="11"/>
      <c r="D103" s="11"/>
      <c r="E103" s="12"/>
      <c r="F103" s="12"/>
      <c r="G103" s="12"/>
      <c r="H103" s="34">
        <f t="shared" si="19"/>
        <v>0</v>
      </c>
      <c r="I103">
        <f t="shared" si="20"/>
        <v>0</v>
      </c>
    </row>
    <row r="104" spans="1:9" s="7" customFormat="1" x14ac:dyDescent="0.25">
      <c r="A104" s="10"/>
      <c r="B104" s="35" t="s">
        <v>14</v>
      </c>
      <c r="C104" s="11"/>
      <c r="D104" s="11"/>
      <c r="E104" s="12"/>
      <c r="F104" s="12"/>
      <c r="G104" s="12"/>
      <c r="H104" s="34">
        <f t="shared" si="19"/>
        <v>0</v>
      </c>
      <c r="I104">
        <f t="shared" si="20"/>
        <v>0</v>
      </c>
    </row>
    <row r="105" spans="1:9" s="7" customFormat="1" x14ac:dyDescent="0.25">
      <c r="A105" s="10">
        <v>4100</v>
      </c>
      <c r="B105" s="11" t="str">
        <f ca="1">BAccountDescriptionF(File0,A105)</f>
        <v>Income from sales</v>
      </c>
      <c r="C105" s="11"/>
      <c r="D105" s="11"/>
      <c r="E105" s="12">
        <f ca="1">BBudgetTotalF(File0,$A105,$D105)</f>
        <v>-102272.76</v>
      </c>
      <c r="F105" s="12">
        <f ca="1">BBudgetTotal($A105,$D105)</f>
        <v>-102272.76</v>
      </c>
      <c r="G105" s="12">
        <v>-102272.76</v>
      </c>
      <c r="H105" s="34">
        <f t="shared" ca="1" si="19"/>
        <v>0</v>
      </c>
      <c r="I105">
        <f t="shared" ca="1" si="20"/>
        <v>0</v>
      </c>
    </row>
    <row r="106" spans="1:9" s="7" customFormat="1" x14ac:dyDescent="0.25">
      <c r="A106" s="10">
        <v>4100</v>
      </c>
      <c r="B106" s="11" t="str">
        <f ca="1">BAccountDescriptionF(File0,A106)</f>
        <v>Income from sales</v>
      </c>
      <c r="C106" s="11"/>
      <c r="D106" s="11" t="s">
        <v>13</v>
      </c>
      <c r="E106" s="12">
        <f ca="1">BBudgetTotalF(File0,$A106,$D106)</f>
        <v>-8522.73</v>
      </c>
      <c r="F106" s="12">
        <f ca="1">BBudgetTotal($A106,$D106)</f>
        <v>-8522.73</v>
      </c>
      <c r="G106" s="12">
        <v>-8522.73</v>
      </c>
      <c r="H106" s="34">
        <f t="shared" ca="1" si="19"/>
        <v>0</v>
      </c>
      <c r="I106">
        <f t="shared" ca="1" si="20"/>
        <v>0</v>
      </c>
    </row>
    <row r="107" spans="1:9" s="7" customFormat="1" x14ac:dyDescent="0.25">
      <c r="A107" s="10">
        <v>4100</v>
      </c>
      <c r="B107" s="11" t="str">
        <f ca="1">BAccountDescriptionF(File0,A107)</f>
        <v>Income from sales</v>
      </c>
      <c r="C107" s="11"/>
      <c r="D107" s="11" t="s">
        <v>1</v>
      </c>
      <c r="E107" s="12">
        <f ca="1">BBudgetTotalF(File0,$A107,$D107)</f>
        <v>-25568.19</v>
      </c>
      <c r="F107" s="12">
        <f ca="1">BBudgetTotal($A107,$D107)</f>
        <v>-25568.19</v>
      </c>
      <c r="G107" s="12">
        <v>-25568.19</v>
      </c>
      <c r="H107" s="34">
        <f t="shared" ref="H107:H139" ca="1" si="27">IF(E107&lt;&gt;F107,1,0)</f>
        <v>0</v>
      </c>
      <c r="I107">
        <f t="shared" ref="I107:I139" ca="1" si="28">IF(E107&lt;&gt;G107,1,0)</f>
        <v>0</v>
      </c>
    </row>
    <row r="108" spans="1:9" s="7" customFormat="1" x14ac:dyDescent="0.25">
      <c r="A108" s="10"/>
      <c r="B108" s="11"/>
      <c r="C108" s="11"/>
      <c r="D108" s="11"/>
      <c r="E108" s="12"/>
      <c r="F108" s="12"/>
      <c r="G108" s="12"/>
      <c r="H108" s="34">
        <f t="shared" si="27"/>
        <v>0</v>
      </c>
      <c r="I108">
        <f t="shared" si="28"/>
        <v>0</v>
      </c>
    </row>
    <row r="109" spans="1:9" s="7" customFormat="1" x14ac:dyDescent="0.25">
      <c r="A109" s="11" t="s">
        <v>34</v>
      </c>
      <c r="B109" s="11" t="str">
        <f ca="1">BAccountDescriptionF(File0,A109)</f>
        <v>Total EXPENSES</v>
      </c>
      <c r="C109" s="11"/>
      <c r="D109" s="11"/>
      <c r="E109" s="12">
        <f ca="1">BBudgetTotalF(File0,$A109,$D109)</f>
        <v>13200</v>
      </c>
      <c r="F109" s="12">
        <f ca="1">BBudgetTotal($A109,$D109)</f>
        <v>13200</v>
      </c>
      <c r="G109" s="12">
        <v>13200</v>
      </c>
      <c r="H109" s="34">
        <f t="shared" ca="1" si="27"/>
        <v>0</v>
      </c>
      <c r="I109">
        <f t="shared" ca="1" si="28"/>
        <v>0</v>
      </c>
    </row>
    <row r="110" spans="1:9" s="7" customFormat="1" x14ac:dyDescent="0.25">
      <c r="A110" s="11" t="s">
        <v>34</v>
      </c>
      <c r="B110" s="11" t="str">
        <f ca="1">BAccountDescriptionF(File0,A110)</f>
        <v>Total EXPENSES</v>
      </c>
      <c r="C110" s="11"/>
      <c r="D110" s="11" t="s">
        <v>13</v>
      </c>
      <c r="E110" s="12">
        <f ca="1">BBudgetTotalF(File0,$A110,$D110)</f>
        <v>1100</v>
      </c>
      <c r="F110" s="12">
        <f ca="1">BBudgetTotal($A110,$D110)</f>
        <v>1100</v>
      </c>
      <c r="G110" s="12">
        <v>1100</v>
      </c>
      <c r="H110" s="34">
        <f t="shared" ca="1" si="27"/>
        <v>0</v>
      </c>
      <c r="I110">
        <f t="shared" ca="1" si="28"/>
        <v>0</v>
      </c>
    </row>
    <row r="111" spans="1:9" s="7" customFormat="1" x14ac:dyDescent="0.25">
      <c r="A111" s="11" t="s">
        <v>34</v>
      </c>
      <c r="B111" s="11" t="str">
        <f ca="1">BAccountDescriptionF(File0,A111)</f>
        <v>Total EXPENSES</v>
      </c>
      <c r="C111" s="11"/>
      <c r="D111" s="11" t="s">
        <v>1</v>
      </c>
      <c r="E111" s="12">
        <f ca="1">BBudgetTotalF(File0,$A111,$D111)</f>
        <v>3300</v>
      </c>
      <c r="F111" s="12">
        <f ca="1">BBudgetTotal($A111,$D111)</f>
        <v>3300</v>
      </c>
      <c r="G111" s="12">
        <v>3300</v>
      </c>
      <c r="H111" s="34">
        <f t="shared" ca="1" si="27"/>
        <v>0</v>
      </c>
      <c r="I111">
        <f t="shared" ca="1" si="28"/>
        <v>0</v>
      </c>
    </row>
    <row r="112" spans="1:9" s="7" customFormat="1" x14ac:dyDescent="0.25">
      <c r="A112" s="10"/>
      <c r="B112" s="11"/>
      <c r="C112" s="11"/>
      <c r="D112" s="11"/>
      <c r="E112" s="12"/>
      <c r="F112" s="12"/>
      <c r="G112" s="12"/>
      <c r="H112" s="34">
        <f t="shared" si="27"/>
        <v>0</v>
      </c>
      <c r="I112">
        <f t="shared" si="28"/>
        <v>0</v>
      </c>
    </row>
    <row r="113" spans="1:9" s="7" customFormat="1" x14ac:dyDescent="0.25">
      <c r="A113" s="11" t="s">
        <v>35</v>
      </c>
      <c r="B113" s="11" t="str">
        <f ca="1">BAccountDescriptionF(File0,A113)</f>
        <v>Total INCOME</v>
      </c>
      <c r="C113" s="11"/>
      <c r="D113" s="11"/>
      <c r="E113" s="12">
        <f ca="1">BBudgetTotalF(File0,$A113,$D113)</f>
        <v>-102272.76</v>
      </c>
      <c r="F113" s="12">
        <f ca="1">BBudgetTotal($A113,$D113)</f>
        <v>-102272.76</v>
      </c>
      <c r="G113" s="12">
        <v>-102272.76</v>
      </c>
      <c r="H113" s="34">
        <f t="shared" ca="1" si="27"/>
        <v>0</v>
      </c>
      <c r="I113">
        <f t="shared" ca="1" si="28"/>
        <v>0</v>
      </c>
    </row>
    <row r="114" spans="1:9" s="7" customFormat="1" x14ac:dyDescent="0.25">
      <c r="A114" s="11" t="s">
        <v>35</v>
      </c>
      <c r="B114" s="11" t="str">
        <f ca="1">BAccountDescriptionF(File0,A114)</f>
        <v>Total INCOME</v>
      </c>
      <c r="C114" s="11"/>
      <c r="D114" s="11" t="s">
        <v>13</v>
      </c>
      <c r="E114" s="12">
        <f ca="1">BBudgetTotalF(File0,$A114,$D114)</f>
        <v>-8522.73</v>
      </c>
      <c r="F114" s="12">
        <f ca="1">BBudgetTotal($A114,$D114)</f>
        <v>-8522.73</v>
      </c>
      <c r="G114" s="12">
        <v>-8522.73</v>
      </c>
      <c r="H114" s="34">
        <f t="shared" ca="1" si="27"/>
        <v>0</v>
      </c>
      <c r="I114">
        <f t="shared" ca="1" si="28"/>
        <v>0</v>
      </c>
    </row>
    <row r="115" spans="1:9" s="7" customFormat="1" x14ac:dyDescent="0.25">
      <c r="A115" s="11" t="s">
        <v>35</v>
      </c>
      <c r="B115" s="11" t="str">
        <f ca="1">BAccountDescriptionF(File0,A115)</f>
        <v>Total INCOME</v>
      </c>
      <c r="C115" s="11"/>
      <c r="D115" s="11" t="s">
        <v>1</v>
      </c>
      <c r="E115" s="12">
        <f ca="1">BBudgetTotalF(File0,$A115,$D115)</f>
        <v>-25568.19</v>
      </c>
      <c r="F115" s="12">
        <f ca="1">BBudgetTotal($A115,$D115)</f>
        <v>-25568.19</v>
      </c>
      <c r="G115" s="12">
        <v>-25568.19</v>
      </c>
      <c r="H115" s="34">
        <f t="shared" ca="1" si="27"/>
        <v>0</v>
      </c>
      <c r="I115">
        <f t="shared" ca="1" si="28"/>
        <v>0</v>
      </c>
    </row>
    <row r="116" spans="1:9" s="7" customFormat="1" x14ac:dyDescent="0.25">
      <c r="A116" s="10"/>
      <c r="B116" s="11"/>
      <c r="C116" s="11"/>
      <c r="E116" s="12"/>
      <c r="F116" s="12"/>
      <c r="G116" s="12"/>
      <c r="H116" s="34">
        <f t="shared" si="27"/>
        <v>0</v>
      </c>
      <c r="I116">
        <f t="shared" si="28"/>
        <v>0</v>
      </c>
    </row>
    <row r="117" spans="1:9" s="7" customFormat="1" x14ac:dyDescent="0.25">
      <c r="A117" s="10"/>
      <c r="B117" s="13" t="s">
        <v>37</v>
      </c>
      <c r="C117" s="11"/>
      <c r="D117" s="11"/>
      <c r="E117" s="12"/>
      <c r="F117" s="12"/>
      <c r="G117" s="12"/>
      <c r="H117" s="34">
        <f t="shared" si="27"/>
        <v>0</v>
      </c>
      <c r="I117">
        <f t="shared" si="28"/>
        <v>0</v>
      </c>
    </row>
    <row r="118" spans="1:9" s="7" customFormat="1" x14ac:dyDescent="0.25">
      <c r="A118" s="10">
        <v>1000</v>
      </c>
      <c r="B118" s="11" t="str">
        <f ca="1">BAccountDescriptionF(File0,A118)</f>
        <v xml:space="preserve">Cash </v>
      </c>
      <c r="C118" s="11">
        <v>5</v>
      </c>
      <c r="D118" s="11"/>
      <c r="E118" s="12">
        <f ca="1">BBudgetInterestF(File0,$A118,$C118,$D118)</f>
        <v>3769.95</v>
      </c>
      <c r="F118" s="12">
        <f ca="1">BBudgetInterest($A118,$C118,$D118)</f>
        <v>3769.95</v>
      </c>
      <c r="G118" s="12">
        <v>3769.95</v>
      </c>
      <c r="H118" s="34">
        <f t="shared" ca="1" si="27"/>
        <v>0</v>
      </c>
      <c r="I118">
        <f t="shared" ca="1" si="28"/>
        <v>0</v>
      </c>
    </row>
    <row r="119" spans="1:9" s="7" customFormat="1" x14ac:dyDescent="0.25">
      <c r="A119" s="10">
        <v>1000</v>
      </c>
      <c r="B119" s="11" t="str">
        <f ca="1">BAccountDescriptionF(File0,A119)</f>
        <v xml:space="preserve">Cash </v>
      </c>
      <c r="C119" s="11">
        <v>5</v>
      </c>
      <c r="D119" s="11" t="s">
        <v>13</v>
      </c>
      <c r="E119" s="12">
        <f ca="1">BBudgetInterestF(File0,$A119,$C119,$D119)</f>
        <v>105.21</v>
      </c>
      <c r="F119" s="12">
        <f ca="1">BBudgetInterest($A119,$C119,$D119)</f>
        <v>105.21</v>
      </c>
      <c r="G119" s="7">
        <v>105.21</v>
      </c>
      <c r="H119" s="34">
        <f t="shared" ca="1" si="27"/>
        <v>0</v>
      </c>
      <c r="I119">
        <f t="shared" ca="1" si="28"/>
        <v>0</v>
      </c>
    </row>
    <row r="120" spans="1:9" s="7" customFormat="1" x14ac:dyDescent="0.25">
      <c r="A120" s="10">
        <v>1000</v>
      </c>
      <c r="B120" s="11" t="str">
        <f ca="1">BAccountDescriptionF(File0,A120)</f>
        <v xml:space="preserve">Cash </v>
      </c>
      <c r="C120" s="11">
        <v>5</v>
      </c>
      <c r="D120" s="11" t="s">
        <v>1</v>
      </c>
      <c r="E120" s="12">
        <f ca="1">BBudgetInterestF(File0,$A120,$C120,$D120)</f>
        <v>422.37</v>
      </c>
      <c r="F120" s="12">
        <f ca="1">BBudgetInterest($A120,$C120,$D120)</f>
        <v>422.37</v>
      </c>
      <c r="G120" s="12">
        <v>422.37</v>
      </c>
      <c r="H120" s="34">
        <f t="shared" ca="1" si="27"/>
        <v>0</v>
      </c>
      <c r="I120">
        <f t="shared" ca="1" si="28"/>
        <v>0</v>
      </c>
    </row>
    <row r="121" spans="1:9" s="7" customFormat="1" x14ac:dyDescent="0.25">
      <c r="A121" s="10"/>
      <c r="B121" s="11"/>
      <c r="C121" s="11"/>
      <c r="E121" s="12"/>
      <c r="F121" s="12"/>
      <c r="G121" s="12"/>
      <c r="H121" s="34">
        <f t="shared" si="27"/>
        <v>0</v>
      </c>
      <c r="I121">
        <f t="shared" si="28"/>
        <v>0</v>
      </c>
    </row>
    <row r="122" spans="1:9" s="7" customFormat="1" x14ac:dyDescent="0.25">
      <c r="A122" s="10">
        <v>2000</v>
      </c>
      <c r="B122" s="11" t="str">
        <f ca="1">BAccountDescriptionF(File0,A122)</f>
        <v>Supplier</v>
      </c>
      <c r="C122" s="11">
        <v>-5</v>
      </c>
      <c r="D122" s="11"/>
      <c r="E122" s="12">
        <f ca="1">BBudgetInterestF(File0,$A122,$C122,$D122)</f>
        <v>325.89</v>
      </c>
      <c r="F122" s="12">
        <f ca="1">BBudgetInterest($A122,$C122,$D122)</f>
        <v>325.89</v>
      </c>
      <c r="G122" s="12">
        <v>325.89</v>
      </c>
      <c r="H122" s="34">
        <f t="shared" ca="1" si="27"/>
        <v>0</v>
      </c>
      <c r="I122">
        <f t="shared" ca="1" si="28"/>
        <v>0</v>
      </c>
    </row>
    <row r="123" spans="1:9" s="7" customFormat="1" x14ac:dyDescent="0.25">
      <c r="A123" s="10">
        <v>2000</v>
      </c>
      <c r="B123" s="11" t="str">
        <f ca="1">BAccountDescriptionF(File0,A123)</f>
        <v>Supplier</v>
      </c>
      <c r="C123" s="11">
        <v>-5</v>
      </c>
      <c r="D123" s="11" t="s">
        <v>13</v>
      </c>
      <c r="E123" s="12">
        <f ca="1">BBudgetInterestF(File0,$A123,$C123,$D123)</f>
        <v>27.6</v>
      </c>
      <c r="F123" s="12">
        <f ca="1">BBudgetInterest($A123,$C123,$D123)</f>
        <v>27.6</v>
      </c>
      <c r="G123" s="12">
        <v>27.6</v>
      </c>
      <c r="H123" s="34">
        <f t="shared" ca="1" si="27"/>
        <v>0</v>
      </c>
      <c r="I123">
        <f t="shared" ca="1" si="28"/>
        <v>0</v>
      </c>
    </row>
    <row r="124" spans="1:9" s="7" customFormat="1" x14ac:dyDescent="0.25">
      <c r="A124" s="10">
        <v>2000</v>
      </c>
      <c r="B124" s="11" t="str">
        <f ca="1">BAccountDescriptionF(File0,A124)</f>
        <v>Supplier</v>
      </c>
      <c r="C124" s="11">
        <v>-5</v>
      </c>
      <c r="D124" s="11" t="s">
        <v>1</v>
      </c>
      <c r="E124" s="12">
        <f ca="1">BBudgetInterestF(File0,$A124,$C124,$D124)</f>
        <v>81.03</v>
      </c>
      <c r="F124" s="12">
        <f ca="1">BBudgetInterest($A124,$C124,$D124)</f>
        <v>81.03</v>
      </c>
      <c r="G124" s="12">
        <v>81.03</v>
      </c>
      <c r="H124" s="34">
        <f t="shared" ca="1" si="27"/>
        <v>0</v>
      </c>
      <c r="I124">
        <f t="shared" ca="1" si="28"/>
        <v>0</v>
      </c>
    </row>
    <row r="125" spans="1:9" s="7" customFormat="1" x14ac:dyDescent="0.25">
      <c r="A125" s="10"/>
      <c r="B125" s="11"/>
      <c r="C125" s="11"/>
      <c r="E125" s="12"/>
      <c r="F125" s="12"/>
      <c r="G125" s="12"/>
      <c r="H125" s="34">
        <f t="shared" si="27"/>
        <v>0</v>
      </c>
      <c r="I125">
        <f t="shared" si="28"/>
        <v>0</v>
      </c>
    </row>
    <row r="126" spans="1:9" x14ac:dyDescent="0.25">
      <c r="A126" s="11"/>
      <c r="B126" s="11"/>
      <c r="C126" s="11"/>
      <c r="D126" s="11"/>
      <c r="E126" s="14"/>
      <c r="F126" s="14"/>
      <c r="G126" s="14"/>
      <c r="H126" s="34">
        <f t="shared" si="27"/>
        <v>0</v>
      </c>
      <c r="I126">
        <f t="shared" si="28"/>
        <v>0</v>
      </c>
    </row>
    <row r="127" spans="1:9" ht="15.75" x14ac:dyDescent="0.25">
      <c r="A127" s="10"/>
      <c r="B127" s="36" t="s">
        <v>65</v>
      </c>
      <c r="C127" s="11"/>
      <c r="D127" s="11"/>
      <c r="E127" s="12"/>
      <c r="F127" s="12"/>
      <c r="G127" s="12"/>
      <c r="H127" s="34">
        <f t="shared" si="27"/>
        <v>0</v>
      </c>
      <c r="I127">
        <f t="shared" si="28"/>
        <v>0</v>
      </c>
    </row>
    <row r="128" spans="1:9" x14ac:dyDescent="0.25">
      <c r="A128" s="10"/>
      <c r="B128" s="13" t="s">
        <v>53</v>
      </c>
      <c r="C128" s="11"/>
      <c r="D128" s="11"/>
      <c r="E128" s="12"/>
      <c r="F128" s="12"/>
      <c r="G128" s="12"/>
      <c r="H128" s="34">
        <f t="shared" si="27"/>
        <v>0</v>
      </c>
      <c r="I128">
        <f t="shared" si="28"/>
        <v>0</v>
      </c>
    </row>
    <row r="129" spans="1:9" x14ac:dyDescent="0.25">
      <c r="A129" s="10"/>
      <c r="C129" s="11"/>
      <c r="D129" s="11"/>
      <c r="E129" s="11" t="str">
        <f ca="1">BCellValueF(File0,"Accounts",3,"Description")</f>
        <v xml:space="preserve">Cash </v>
      </c>
      <c r="F129" s="11" t="str">
        <f ca="1">BCellValue("Accounts",3,"Description")</f>
        <v xml:space="preserve">Cash </v>
      </c>
      <c r="G129" s="12" t="s">
        <v>66</v>
      </c>
      <c r="H129" s="34">
        <f t="shared" ca="1" si="27"/>
        <v>0</v>
      </c>
      <c r="I129">
        <f t="shared" ca="1" si="28"/>
        <v>0</v>
      </c>
    </row>
    <row r="130" spans="1:9" ht="25.5" x14ac:dyDescent="0.25">
      <c r="A130" s="10"/>
      <c r="C130" s="11"/>
      <c r="D130" s="11"/>
      <c r="E130" s="11" t="str">
        <f ca="1">BCellValueF(File0,"Accounts","Group=2","Description")</f>
        <v>Total LIABILITIES</v>
      </c>
      <c r="F130" s="11" t="str">
        <f ca="1">BCellValue("Accounts","Group=2","Description")</f>
        <v>Total LIABILITIES</v>
      </c>
      <c r="G130" s="12" t="s">
        <v>67</v>
      </c>
      <c r="H130" s="34">
        <f t="shared" ca="1" si="27"/>
        <v>0</v>
      </c>
      <c r="I130">
        <f t="shared" ca="1" si="28"/>
        <v>0</v>
      </c>
    </row>
    <row r="131" spans="1:9" x14ac:dyDescent="0.25">
      <c r="A131" s="10"/>
      <c r="B131" s="11"/>
      <c r="C131" s="11"/>
      <c r="D131" s="11"/>
      <c r="E131" s="12"/>
      <c r="F131" s="12"/>
      <c r="G131" s="12"/>
      <c r="H131" s="34">
        <f t="shared" si="27"/>
        <v>0</v>
      </c>
      <c r="I131">
        <f t="shared" si="28"/>
        <v>0</v>
      </c>
    </row>
    <row r="132" spans="1:9" x14ac:dyDescent="0.25">
      <c r="A132" s="10"/>
      <c r="B132" s="13" t="s">
        <v>54</v>
      </c>
      <c r="C132" s="11"/>
      <c r="D132" s="11"/>
      <c r="E132" s="12"/>
      <c r="F132" s="12"/>
      <c r="G132" s="12"/>
      <c r="H132" s="34">
        <f t="shared" si="27"/>
        <v>0</v>
      </c>
      <c r="I132">
        <f t="shared" si="28"/>
        <v>0</v>
      </c>
    </row>
    <row r="133" spans="1:9" x14ac:dyDescent="0.25">
      <c r="A133" s="10"/>
      <c r="C133" s="11"/>
      <c r="D133" s="11"/>
      <c r="E133" s="38" t="str">
        <f ca="1">BCellValueF(File0,"Accounts",3,"Opening")</f>
        <v>17570.00</v>
      </c>
      <c r="F133" s="38" t="str">
        <f ca="1">BCellValue("Accounts",3,"Opening")</f>
        <v>17570.00</v>
      </c>
      <c r="G133" s="12" t="s">
        <v>68</v>
      </c>
      <c r="H133" s="34">
        <f t="shared" ca="1" si="27"/>
        <v>0</v>
      </c>
      <c r="I133">
        <f t="shared" ca="1" si="28"/>
        <v>0</v>
      </c>
    </row>
    <row r="134" spans="1:9" x14ac:dyDescent="0.25">
      <c r="A134" s="10"/>
      <c r="C134" s="11"/>
      <c r="D134" s="11"/>
      <c r="E134" s="38" t="str">
        <f ca="1">BCellValueF(File0,"Accounts","Group=2","Balance")</f>
        <v>-169758.18</v>
      </c>
      <c r="F134" s="38" t="str">
        <f ca="1">BCellValue("Accounts","Group=2","Balance")</f>
        <v>-169758.18</v>
      </c>
      <c r="G134" s="12" t="s">
        <v>69</v>
      </c>
      <c r="H134" s="34">
        <f t="shared" ca="1" si="27"/>
        <v>0</v>
      </c>
      <c r="I134">
        <f t="shared" ca="1" si="28"/>
        <v>0</v>
      </c>
    </row>
    <row r="135" spans="1:9" x14ac:dyDescent="0.25">
      <c r="A135" s="10"/>
      <c r="B135" s="11"/>
      <c r="C135" s="11"/>
      <c r="D135" s="11"/>
      <c r="E135" s="12"/>
      <c r="F135" s="12"/>
      <c r="G135" s="12"/>
      <c r="H135" s="34">
        <f t="shared" si="27"/>
        <v>0</v>
      </c>
      <c r="I135">
        <f t="shared" si="28"/>
        <v>0</v>
      </c>
    </row>
    <row r="136" spans="1:9" x14ac:dyDescent="0.25">
      <c r="A136" s="11"/>
      <c r="B136" s="13" t="s">
        <v>12</v>
      </c>
      <c r="C136" s="13"/>
      <c r="D136" s="13"/>
      <c r="E136" s="9"/>
      <c r="F136" s="9"/>
      <c r="G136" s="9"/>
      <c r="H136" s="34">
        <f t="shared" si="27"/>
        <v>0</v>
      </c>
      <c r="I136">
        <f t="shared" si="28"/>
        <v>0</v>
      </c>
    </row>
    <row r="137" spans="1:9" x14ac:dyDescent="0.25">
      <c r="A137" s="11" t="s">
        <v>4</v>
      </c>
      <c r="C137" s="8"/>
      <c r="D137" s="8"/>
      <c r="E137" s="8" t="str">
        <f ca="1">BInfoF( File0,"Base",$A137)</f>
        <v>Sibex Ltd</v>
      </c>
      <c r="F137" s="8" t="str">
        <f ca="1">BInfo( "Base",$A137)</f>
        <v>Sibex Ltd</v>
      </c>
      <c r="G137" s="9" t="s">
        <v>70</v>
      </c>
      <c r="H137" s="34">
        <f t="shared" ca="1" si="27"/>
        <v>0</v>
      </c>
      <c r="I137">
        <f t="shared" ca="1" si="28"/>
        <v>0</v>
      </c>
    </row>
    <row r="138" spans="1:9" x14ac:dyDescent="0.25">
      <c r="A138" s="13" t="s">
        <v>5</v>
      </c>
      <c r="C138" s="8"/>
      <c r="D138" s="8"/>
      <c r="E138" s="8" t="str">
        <f ca="1">BInfoF( File0,"Base",$A138)</f>
        <v>Example of Double-Entry Accounting with VAT</v>
      </c>
      <c r="F138" s="8" t="str">
        <f ca="1">BInfo( "Base",$A138)</f>
        <v>Example of Double-Entry Accounting with VAT</v>
      </c>
      <c r="G138" s="9" t="s">
        <v>71</v>
      </c>
      <c r="H138" s="34">
        <f t="shared" ca="1" si="27"/>
        <v>0</v>
      </c>
      <c r="I138">
        <f t="shared" ca="1" si="28"/>
        <v>0</v>
      </c>
    </row>
    <row r="139" spans="1:9" x14ac:dyDescent="0.25">
      <c r="A139" s="8" t="s">
        <v>6</v>
      </c>
      <c r="C139" s="15"/>
      <c r="D139" s="15"/>
      <c r="E139" s="37">
        <f ca="1">DATEVALUE(BInfoF( File0,"Base",$A139))</f>
        <v>42766</v>
      </c>
      <c r="F139" s="37">
        <f ca="1">DATEVALUE(BInfo( "Base",$A139))</f>
        <v>42766</v>
      </c>
      <c r="G139" s="9">
        <v>42766</v>
      </c>
      <c r="H139" s="34">
        <f t="shared" ca="1" si="27"/>
        <v>0</v>
      </c>
      <c r="I139">
        <f t="shared" ca="1" si="28"/>
        <v>0</v>
      </c>
    </row>
    <row r="140" spans="1:9" x14ac:dyDescent="0.25">
      <c r="A140" s="16"/>
      <c r="B140" s="9" t="str">
        <f ca="1">BInfoF( File0,"Base",A140)</f>
        <v/>
      </c>
      <c r="C140" s="9"/>
      <c r="D140" s="9"/>
      <c r="E140" s="9"/>
      <c r="F140" s="9"/>
      <c r="G140" s="9"/>
      <c r="H140" s="9"/>
    </row>
    <row r="141" spans="1:9" x14ac:dyDescent="0.25">
      <c r="A141" s="1"/>
      <c r="B141" t="str">
        <f ca="1">BInfoF( File0,"Base",A141)</f>
        <v/>
      </c>
    </row>
    <row r="142" spans="1:9" x14ac:dyDescent="0.25">
      <c r="A142" s="1"/>
      <c r="B142" s="13" t="s">
        <v>27</v>
      </c>
      <c r="C142" s="1"/>
      <c r="D142" s="1"/>
    </row>
    <row r="143" spans="1:9" x14ac:dyDescent="0.25">
      <c r="A143" s="18" t="s">
        <v>29</v>
      </c>
      <c r="B143" t="str">
        <f>BFunctionsVersion()</f>
        <v>2017-02-01</v>
      </c>
      <c r="C143" s="1"/>
      <c r="D143" s="1"/>
    </row>
    <row r="144" spans="1:9" x14ac:dyDescent="0.25">
      <c r="A144" s="18" t="s">
        <v>33</v>
      </c>
      <c r="C144" s="1"/>
      <c r="D144" s="1"/>
    </row>
    <row r="145" spans="1:4" x14ac:dyDescent="0.25">
      <c r="A145" s="22" t="s">
        <v>32</v>
      </c>
      <c r="C145" s="1"/>
      <c r="D145" s="1"/>
    </row>
    <row r="146" spans="1:4" x14ac:dyDescent="0.25">
      <c r="A146" s="21">
        <v>10</v>
      </c>
      <c r="B146" t="str">
        <f>BlastQuery(A146)</f>
        <v>http://localhost:8081/v1/doc/company-2020.ac2/budget/1000/opening?</v>
      </c>
      <c r="C146" s="1"/>
      <c r="D146" s="1"/>
    </row>
    <row r="147" spans="1:4" x14ac:dyDescent="0.25">
      <c r="A147" s="21">
        <f>A146-1</f>
        <v>9</v>
      </c>
      <c r="B147" t="str">
        <f>BlastQuery(A147)</f>
        <v>http://localhost:8081/v1/doc/company-2020.ac2/budgetinterest/1000?rate=5</v>
      </c>
      <c r="C147" s="1"/>
      <c r="D147" s="1"/>
    </row>
    <row r="148" spans="1:4" x14ac:dyDescent="0.25">
      <c r="A148" s="21">
        <f t="shared" ref="A148:A156" si="29">A147-1</f>
        <v>8</v>
      </c>
      <c r="B148" t="str">
        <f>BlastQuery(A148)</f>
        <v>http://localhost:8081/v1/doc/company-2020.ac2/budget/1000/opening?</v>
      </c>
      <c r="C148" s="1"/>
      <c r="D148" s="1"/>
    </row>
    <row r="149" spans="1:4" x14ac:dyDescent="0.25">
      <c r="A149" s="21">
        <f t="shared" si="29"/>
        <v>7</v>
      </c>
      <c r="B149" t="str">
        <f t="shared" ref="B149:B156" si="30">BlastQuery(A149)</f>
        <v>http://localhost:8081/v1/doc/company-2020.ac2/budget/1000/opening?</v>
      </c>
      <c r="C149" s="1"/>
      <c r="D149" s="1"/>
    </row>
    <row r="150" spans="1:4" x14ac:dyDescent="0.25">
      <c r="A150" s="21">
        <f t="shared" si="29"/>
        <v>6</v>
      </c>
      <c r="B150" t="str">
        <f t="shared" si="30"/>
        <v>http://localhost:8081/v1/doc/company-2020.ac2/budget/1000/opening?period=M1</v>
      </c>
      <c r="C150" s="1"/>
      <c r="D150" s="1"/>
    </row>
    <row r="151" spans="1:4" x14ac:dyDescent="0.25">
      <c r="A151" s="21">
        <f t="shared" si="29"/>
        <v>5</v>
      </c>
      <c r="B151" t="str">
        <f>BlastQuery(A151)</f>
        <v>http://localhost:8081/v1/doc/company-2020.ac2/budget/1000/opening?period=Q1</v>
      </c>
      <c r="C151" s="1"/>
      <c r="D151" s="1"/>
    </row>
    <row r="152" spans="1:4" x14ac:dyDescent="0.25">
      <c r="A152" s="21">
        <f t="shared" si="29"/>
        <v>4</v>
      </c>
      <c r="B152" t="str">
        <f t="shared" si="30"/>
        <v>http://localhost:8081/v1/doc/company-2020.ac2/budgetinterest/2000?rate=-5&amp;period=M1</v>
      </c>
      <c r="C152" s="1"/>
      <c r="D152" s="1"/>
    </row>
    <row r="153" spans="1:4" x14ac:dyDescent="0.25">
      <c r="A153" s="21">
        <f t="shared" si="29"/>
        <v>3</v>
      </c>
      <c r="B153" t="str">
        <f t="shared" si="30"/>
        <v>http://localhost:8081/v1/doc/company-2020.ac2/budget/Gr=3/total?period=Q1</v>
      </c>
      <c r="C153" s="1"/>
      <c r="D153" s="1"/>
    </row>
    <row r="154" spans="1:4" x14ac:dyDescent="0.25">
      <c r="A154" s="21">
        <f t="shared" si="29"/>
        <v>2</v>
      </c>
      <c r="B154" t="str">
        <f t="shared" si="30"/>
        <v>http://localhost:8081/v1/doc/company-2020.ac2/budget/4100/total?period=M1</v>
      </c>
      <c r="C154" s="1"/>
      <c r="D154" s="1"/>
    </row>
    <row r="155" spans="1:4" x14ac:dyDescent="0.25">
      <c r="A155" s="21">
        <f t="shared" si="29"/>
        <v>1</v>
      </c>
      <c r="B155" t="str">
        <f t="shared" si="30"/>
        <v>http://localhost:8081/v1/doc/company-2020.ac2/budget/1000|1010|1011/balance?</v>
      </c>
      <c r="C155" s="1"/>
      <c r="D155" s="1"/>
    </row>
    <row r="156" spans="1:4" x14ac:dyDescent="0.25">
      <c r="A156" s="21">
        <f t="shared" si="29"/>
        <v>0</v>
      </c>
      <c r="B156" t="str">
        <f t="shared" si="30"/>
        <v>http://localhost:8081/v1/doc/company-2020.ac2/budget/3000/amount?period=Q1</v>
      </c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3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3"/>
      <c r="B163" s="1"/>
      <c r="C163" s="1"/>
      <c r="D163" s="1"/>
    </row>
    <row r="164" spans="1:4" x14ac:dyDescent="0.25">
      <c r="A164" s="4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2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4"/>
      <c r="B172" s="1"/>
      <c r="C172" s="1"/>
      <c r="D172" s="1"/>
    </row>
    <row r="173" spans="1:4" x14ac:dyDescent="0.25">
      <c r="A173" s="2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Start</vt:lpstr>
      <vt:lpstr>Samples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dcterms:created xsi:type="dcterms:W3CDTF">2014-07-24T08:59:22Z</dcterms:created>
  <dcterms:modified xsi:type="dcterms:W3CDTF">2017-01-31T15:24:34Z</dcterms:modified>
</cp:coreProperties>
</file>