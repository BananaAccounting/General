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_xlnm.Print_Area" localSheetId="1">'Current &amp; Last Yeat'!$B$2:$D$32</definedName>
    <definedName name="DisableConnection">Start!$C$15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1" l="1"/>
  <c r="C12" i="1"/>
  <c r="D6" i="6"/>
  <c r="C16" i="7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C3" i="1"/>
  <c r="B3" i="7"/>
  <c r="B4" i="7"/>
  <c r="C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/>
  <c r="D6" i="1"/>
  <c r="D24" i="6"/>
  <c r="F15" i="7"/>
  <c r="F17" i="7"/>
  <c r="D15" i="7"/>
  <c r="D17" i="7"/>
  <c r="G15" i="7"/>
  <c r="G17" i="7"/>
  <c r="E15" i="7"/>
  <c r="E17" i="7"/>
  <c r="C18" i="7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<sst xmlns="http://schemas.openxmlformats.org/spreadsheetml/2006/main" count="132" uniqueCount="98">
  <si>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</si>
  <si>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</si>
  <si>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</si>
  <si>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</si>
  <si>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</si>
  <si>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</si>
  <si>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</si>
  <si>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</si>
  <si>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</si>
  <si>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</si>
  <si>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</si>
  <si>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</si>
  <si>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</si>
  <si>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</si>
  <si>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</si>
  <si>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</si>
  <si>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</si>
  <si>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</si>
  <si>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</si>
  <si>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</si>
  <si>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</si>
  <si>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</si>
  <si>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</si>
  <si>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</si>
  <si>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</si>
  <si>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</si>
  <si>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</si>
  <si>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</si>
  <si>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</si>
  <si>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</si>
  <si>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</si>
  <si>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</si>
  <si>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</si>
  <si>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</si>
  <si>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</si>
  <si>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</si>
  <si>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</si>
  <si>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</si>
  <si>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</si>
  <si>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</si>
  <si>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</si>
  <si>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</si>
  <si>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</si>
  <si>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</si>
  <si>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</si>
  <si>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</si>
  <si>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</si>
  <si>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</si>
  <si>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</si>
  <si>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</si>
  <si>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</si>
  <si>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</si>
  <si>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</si>
  <si>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</si>
  <si>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</si>
  <si>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</si>
  <si>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</si>
  <si>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</si>
  <si>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</si>
  <si>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</si>
  <si>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</si>
  <si>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</si>
  <si>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</si>
  <si>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</si>
  <si>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</si>
  <si>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</si>
  <si>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</si>
  <si>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</si>
  <si>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</si>
  <si>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</si>
  <si>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</si>
  <si>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</si>
  <si>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</si>
  <si>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</si>
  <si>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</si>
  <si>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</si>
  <si>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</si>
  <si>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</si>
  <si>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</si>
  <si>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</si>
  <si>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</si>
  <si>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</si>
  <si>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</si>
  <si>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</si>
  <si>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</si>
  <si>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</si>
  <si>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</si>
  <si>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</si>
  <si>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</si>
  <si>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</si>
  <si>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</si>
  <si>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</si>
  <si>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</si>
  <si>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</si>
  <si>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</si>
  <si>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</si>
  <si>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</si>
  <si>
    <t>Sibex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</si>
</sst>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7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7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7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 applyAlignment="1"/>
    <xf numFmtId="164" fontId="17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7" fillId="0" borderId="3" xfId="1" applyFont="1" applyBorder="1" applyAlignment="1"/>
    <xf numFmtId="164" fontId="17" fillId="0" borderId="8" xfId="1" applyFont="1" applyBorder="1" applyAlignment="1"/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0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1" fillId="2" borderId="9" xfId="0" applyNumberFormat="1" applyFont="1" applyFill="1" applyBorder="1"/>
    <xf numFmtId="164" fontId="0" fillId="0" borderId="0" xfId="0" applyNumberFormat="1" applyFill="1"/>
    <xf numFmtId="0" fontId="22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3" fillId="0" borderId="12" xfId="0" applyFont="1" applyBorder="1" applyAlignment="1">
      <alignment vertical="center" wrapText="1"/>
    </xf>
    <xf numFmtId="0" fontId="0" fillId="0" borderId="13" xfId="0" applyBorder="1"/>
    <xf numFmtId="0" fontId="19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4" fillId="0" borderId="0" xfId="0" applyFont="1" applyAlignment="1">
      <alignment vertical="center"/>
    </xf>
    <xf numFmtId="164" fontId="0" fillId="0" borderId="9" xfId="1" applyFont="1" applyBorder="1"/>
    <xf numFmtId="0" fontId="23" fillId="0" borderId="9" xfId="0" applyFont="1" applyBorder="1" applyAlignment="1">
      <alignment vertical="center" wrapText="1"/>
    </xf>
    <xf numFmtId="164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26" fillId="0" borderId="0" xfId="0" applyFont="1" applyAlignment="1">
      <alignment horizontal="left"/>
    </xf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C15" sqref="C15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9" t="s">
        <v>0</v>
      </c>
      <c r="C2" s="18" t="s">
        <v>19</v>
      </c>
    </row>
    <row r="3" spans="2:6">
      <c r="B3" s="19"/>
      <c r="C3" s="22" t="str">
        <f>BFunctionsVersion()</f>
        <v>2016-07-13</v>
      </c>
    </row>
    <row r="4" spans="2:6">
      <c r="B4" s="19"/>
    </row>
    <row r="5" spans="2:6">
      <c r="C5" s="24"/>
      <c r="F5" s="23"/>
    </row>
    <row r="6" spans="2:6">
      <c r="B6" s="18" t="s">
        <v>25</v>
      </c>
      <c r="C6" s="20" t="s">
        <v>2</v>
      </c>
      <c r="D6" t="str">
        <f ca="1">IF(C11="","Banana not open, file not open or WebServer not active","Banana Connection OK")</f>
        <v>Banana Connection OK</v>
      </c>
    </row>
    <row r="7" spans="2:6">
      <c r="B7" s="18" t="s">
        <v>27</v>
      </c>
      <c r="C7" s="20" t="s">
        <v>3</v>
      </c>
    </row>
    <row r="8" spans="2:6">
      <c r="B8" s="18" t="s">
        <v>28</v>
      </c>
      <c r="C8" s="20"/>
    </row>
    <row r="9" spans="2:6">
      <c r="C9" s="26"/>
    </row>
    <row r="10" spans="2:6">
      <c r="C10" s="26"/>
      <c r="D10" t="s">
        <v>30</v>
      </c>
    </row>
    <row r="11" spans="2:6">
      <c r="B11" s="18" t="s">
        <v>21</v>
      </c>
      <c r="C11" s="18" t="str">
        <f ca="1">BFileName( C6,DisableConnection)</f>
        <v>company-2015.ac2</v>
      </c>
      <c r="D11" t="s">
        <v>26</v>
      </c>
    </row>
    <row r="12" spans="2:6">
      <c r="B12" s="18" t="s">
        <v>22</v>
      </c>
      <c r="C12" s="18" t="str">
        <f ca="1">BFileName( C7,DisableConnection)</f>
        <v>company-2014.ac2</v>
      </c>
      <c r="D12" t="s">
        <v>54</v>
      </c>
    </row>
    <row r="13" spans="2:6">
      <c r="B13" s="18" t="s">
        <v>29</v>
      </c>
      <c r="C13" s="18" t="str">
        <f ca="1">BFileName( C8,DisableConnection)</f>
        <v/>
      </c>
    </row>
    <row r="14" spans="2:6">
      <c r="B14" s="18"/>
      <c r="C14" s="18"/>
    </row>
    <row r="15" spans="2:6">
      <c r="B15" s="18" t="s">
        <v>55</v>
      </c>
      <c r="C15" s="88"/>
      <c r="D15" t="s">
        <v>56</v>
      </c>
    </row>
    <row r="16" spans="2:6">
      <c r="D16" t="s">
        <v>57</v>
      </c>
      <c r="E16" s="5"/>
    </row>
    <row r="17" spans="2:7">
      <c r="C17" s="18"/>
      <c r="D17" s="22"/>
      <c r="F17" s="12"/>
      <c r="G17" s="12"/>
    </row>
    <row r="18" spans="2:7" s="7" customFormat="1">
      <c r="B18" s="10"/>
      <c r="C18" s="11"/>
      <c r="D18" s="11"/>
      <c r="E18" s="12"/>
      <c r="F18" s="12"/>
      <c r="G18" s="12"/>
    </row>
    <row r="19" spans="2:7" s="7" customFormat="1" ht="17.649999999999999">
      <c r="B19" s="29" t="s">
        <v>23</v>
      </c>
      <c r="C19" s="11"/>
      <c r="D19" s="11"/>
      <c r="E19" s="12"/>
      <c r="F19" s="12"/>
      <c r="G19" s="12"/>
    </row>
    <row r="20" spans="2:7" s="7" customFormat="1" ht="15.75">
      <c r="B20" s="27" t="s">
        <v>1</v>
      </c>
      <c r="C20" s="11"/>
      <c r="D20" s="11"/>
      <c r="E20" s="12"/>
      <c r="F20" s="12"/>
      <c r="G20" s="12"/>
    </row>
    <row r="21" spans="2:7" s="7" customFormat="1">
      <c r="B21" t="s">
        <v>24</v>
      </c>
      <c r="C21" s="11"/>
      <c r="D21" s="11"/>
      <c r="E21" s="12"/>
      <c r="F21" s="12"/>
      <c r="G21" s="12"/>
    </row>
    <row r="22" spans="2:7" s="7" customFormat="1">
      <c r="B22" t="s">
        <v>14</v>
      </c>
      <c r="C22" s="11"/>
      <c r="D22" s="11"/>
      <c r="E22" s="12"/>
      <c r="F22" s="12"/>
      <c r="G22" s="12"/>
    </row>
    <row r="23" spans="2:7" s="7" customFormat="1">
      <c r="B23" t="s">
        <v>16</v>
      </c>
      <c r="C23" s="11"/>
      <c r="D23" s="11"/>
      <c r="E23" s="12"/>
      <c r="F23" s="12"/>
      <c r="G23" s="12"/>
    </row>
    <row r="24" spans="2:7" s="7" customFormat="1">
      <c r="B24" s="26"/>
      <c r="C24" s="11"/>
      <c r="D24" s="11"/>
      <c r="E24" s="12"/>
      <c r="F24" s="12"/>
      <c r="G24" s="12"/>
    </row>
    <row r="25" spans="2:7" s="7" customFormat="1">
      <c r="B25"/>
      <c r="C25" s="13"/>
      <c r="D25" s="13"/>
      <c r="E25" s="12"/>
      <c r="F25" s="12"/>
      <c r="G25" s="12"/>
    </row>
    <row r="26" spans="2:7" s="7" customFormat="1" ht="18">
      <c r="B26" s="30" t="s">
        <v>15</v>
      </c>
      <c r="C26" s="11"/>
      <c r="D26" s="11"/>
      <c r="E26" s="12"/>
      <c r="F26" s="12"/>
      <c r="G26" s="12"/>
    </row>
    <row r="27" spans="2:7" s="7" customFormat="1">
      <c r="B27" s="31" t="s">
        <v>31</v>
      </c>
      <c r="C27" s="11"/>
      <c r="D27" s="11"/>
      <c r="E27" s="12"/>
      <c r="F27" s="12"/>
      <c r="G27" s="12"/>
    </row>
    <row r="28" spans="2:7" s="7" customFormat="1">
      <c r="B28" s="22" t="s">
        <v>4</v>
      </c>
      <c r="C28" s="11"/>
      <c r="D28" s="11"/>
      <c r="E28" s="12"/>
      <c r="F28" s="12"/>
      <c r="G28" s="12"/>
    </row>
    <row r="29" spans="2:7">
      <c r="B29" s="22" t="s">
        <v>5</v>
      </c>
      <c r="C29" s="13"/>
      <c r="D29" s="13"/>
      <c r="E29" s="14"/>
      <c r="F29" s="14"/>
      <c r="G29" s="14"/>
    </row>
    <row r="30" spans="2:7">
      <c r="B30" s="22" t="s">
        <v>6</v>
      </c>
      <c r="C30" s="11"/>
      <c r="D30" s="11"/>
      <c r="E30" s="14"/>
      <c r="F30" s="14"/>
      <c r="G30" s="14"/>
    </row>
    <row r="31" spans="2:7">
      <c r="B31" s="22" t="s">
        <v>7</v>
      </c>
      <c r="C31" s="11"/>
      <c r="D31" s="11"/>
      <c r="E31" s="14"/>
      <c r="F31" s="14"/>
      <c r="G31" s="14"/>
    </row>
    <row r="32" spans="2:7">
      <c r="B32" s="22" t="s">
        <v>4</v>
      </c>
      <c r="C32" s="11"/>
      <c r="D32" s="11"/>
      <c r="E32" s="14"/>
      <c r="F32" s="14"/>
      <c r="G32" s="14"/>
    </row>
    <row r="33" spans="2:7">
      <c r="B33" s="25" t="s">
        <v>8</v>
      </c>
      <c r="C33" s="13"/>
      <c r="D33" s="13"/>
      <c r="E33" s="14"/>
      <c r="F33" s="14"/>
      <c r="G33" s="14"/>
    </row>
    <row r="34" spans="2:7">
      <c r="B34" s="22" t="s">
        <v>4</v>
      </c>
      <c r="C34" s="11"/>
      <c r="D34" s="11"/>
      <c r="E34" s="12"/>
      <c r="F34" s="12"/>
      <c r="G34" s="12"/>
    </row>
    <row r="35" spans="2:7">
      <c r="B35" s="22" t="s">
        <v>9</v>
      </c>
      <c r="C35" s="11"/>
      <c r="D35" s="11"/>
      <c r="E35" s="12"/>
      <c r="F35" s="12"/>
      <c r="G35" s="12"/>
    </row>
    <row r="36" spans="2:7">
      <c r="B36" s="22" t="s">
        <v>10</v>
      </c>
      <c r="C36" s="11"/>
      <c r="D36" s="11"/>
      <c r="E36" s="12"/>
      <c r="F36" s="12"/>
      <c r="G36" s="12"/>
    </row>
    <row r="37" spans="2:7">
      <c r="B37" s="22" t="s">
        <v>11</v>
      </c>
      <c r="C37" s="17"/>
      <c r="D37" s="17"/>
      <c r="E37" s="9"/>
      <c r="F37" s="9"/>
      <c r="G37" s="9"/>
    </row>
    <row r="38" spans="2:7">
      <c r="B38" s="22" t="s">
        <v>12</v>
      </c>
      <c r="C38" s="11"/>
      <c r="D38" s="11"/>
      <c r="E38" s="12"/>
      <c r="F38" s="12"/>
      <c r="G38" s="12"/>
    </row>
    <row r="39" spans="2:7">
      <c r="B39" s="22" t="s">
        <v>13</v>
      </c>
      <c r="C39" s="11"/>
      <c r="D39" s="11"/>
      <c r="E39" s="12"/>
      <c r="F39" s="12"/>
      <c r="G39" s="12"/>
    </row>
    <row r="40" spans="2:7">
      <c r="B40" s="8"/>
      <c r="C40" s="17"/>
      <c r="D40" s="17"/>
      <c r="E40" s="9"/>
      <c r="F40" s="9"/>
      <c r="G40" s="9"/>
    </row>
    <row r="41" spans="2:7">
      <c r="B41" s="10"/>
      <c r="C41" s="11"/>
      <c r="D41" s="11"/>
      <c r="E41" s="12"/>
      <c r="F41" s="12"/>
      <c r="G41" s="12"/>
    </row>
    <row r="42" spans="2:7">
      <c r="B42" s="10"/>
      <c r="C42" s="11"/>
      <c r="D42" s="11"/>
      <c r="E42" s="12"/>
      <c r="F42" s="12"/>
      <c r="G42" s="12"/>
    </row>
    <row r="43" spans="2:7">
      <c r="B43" s="10"/>
      <c r="C43" s="13"/>
      <c r="D43" s="13"/>
      <c r="E43" s="12"/>
      <c r="F43" s="12"/>
      <c r="G43" s="12"/>
    </row>
    <row r="44" spans="2:7">
      <c r="B44" s="10"/>
      <c r="C44" s="11"/>
      <c r="D44" s="11"/>
      <c r="E44" s="12"/>
      <c r="F44" s="12"/>
      <c r="G44" s="12"/>
    </row>
    <row r="45" spans="2:7">
      <c r="B45" s="10"/>
      <c r="C45" s="11"/>
      <c r="D45" s="11"/>
      <c r="E45" s="12"/>
      <c r="F45" s="12"/>
      <c r="G45" s="12"/>
    </row>
    <row r="46" spans="2:7">
      <c r="B46" s="11"/>
      <c r="C46" s="13"/>
      <c r="D46" s="13"/>
      <c r="E46" s="9"/>
      <c r="F46" s="9"/>
      <c r="G46" s="9"/>
    </row>
    <row r="47" spans="2:7">
      <c r="B47" s="11"/>
      <c r="C47" s="8"/>
      <c r="D47" s="8"/>
      <c r="E47" s="9"/>
      <c r="F47" s="9"/>
      <c r="G47" s="9"/>
    </row>
    <row r="48" spans="2:7">
      <c r="B48" s="13"/>
      <c r="C48" s="8"/>
      <c r="D48" s="8"/>
      <c r="E48" s="9"/>
      <c r="F48" s="9"/>
      <c r="G48" s="9"/>
    </row>
    <row r="49" spans="1:7">
      <c r="B49" s="8"/>
      <c r="C49" s="15"/>
      <c r="D49" s="15"/>
      <c r="E49" s="9"/>
      <c r="F49" s="9"/>
      <c r="G49" s="9"/>
    </row>
    <row r="50" spans="1:7">
      <c r="A50" t="s">
        <v>97</v>
      </c>
      <c r="B50" s="16" t="s">
        <v>70</v>
      </c>
      <c r="C50" s="9"/>
      <c r="D50" s="9"/>
      <c r="E50" s="9"/>
      <c r="F50" s="9"/>
      <c r="G50" s="9"/>
    </row>
    <row r="51" spans="1:7">
      <c r="B51" s="1"/>
    </row>
    <row r="52" spans="1:7">
      <c r="B52" s="1"/>
      <c r="C52" s="13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E5" sqref="E5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34" t="str">
        <f ca="1">BInfo( File0,"Base","HeaderLeft")</f>
        <v>Sibex Ltd</v>
      </c>
      <c r="C2" s="28"/>
    </row>
    <row r="3" spans="1:4" ht="17.25">
      <c r="B3" s="34"/>
      <c r="C3" s="28"/>
    </row>
    <row r="4" spans="1:4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>
      <c r="A5" s="10" t="s">
        <v>32</v>
      </c>
      <c r="B5" s="35" t="str">
        <f t="shared" ref="B5:B14" ca="1" si="0">BAccountDescription(File0,A5)</f>
        <v>Cash</v>
      </c>
      <c r="C5" s="36">
        <f ca="1">BAmount(File0,$A5)</f>
        <v>17758.18</v>
      </c>
      <c r="D5" s="37">
        <f t="shared" ref="D5:D19" ca="1" si="1">BAmount(File1,$A5)</f>
        <v>19070</v>
      </c>
    </row>
    <row r="6" spans="1:4">
      <c r="A6" s="10" t="s">
        <v>34</v>
      </c>
      <c r="B6" s="35" t="str">
        <f t="shared" ca="1" si="0"/>
        <v>Accounts Receivable</v>
      </c>
      <c r="C6" s="36">
        <f ca="1">BAmount(File0,$A6)</f>
        <v>10000</v>
      </c>
      <c r="D6" s="37">
        <f ca="1">BAmount(File1,$A6)</f>
        <v>10000</v>
      </c>
    </row>
    <row r="7" spans="1:4" s="7" customFormat="1">
      <c r="A7" s="10" t="s">
        <v>35</v>
      </c>
      <c r="B7" s="35" t="str">
        <f t="shared" ca="1" si="0"/>
        <v>Inventory</v>
      </c>
      <c r="C7" s="36">
        <f t="shared" ref="C7:C14" ca="1" si="2">BAmount(File0,$A7)</f>
        <v>7000</v>
      </c>
      <c r="D7" s="37">
        <f t="shared" ca="1" si="1"/>
        <v>7000</v>
      </c>
    </row>
    <row r="8" spans="1:4" s="7" customFormat="1">
      <c r="A8" s="10" t="s">
        <v>36</v>
      </c>
      <c r="B8" s="35" t="str">
        <f t="shared" ca="1" si="0"/>
        <v>Prepaid Expenses</v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>Current Assets</v>
      </c>
      <c r="C9" s="39">
        <f ca="1">BAmount(File0,$A9)</f>
        <v>34758.18</v>
      </c>
      <c r="D9" s="37">
        <f t="shared" ca="1" si="1"/>
        <v>36070</v>
      </c>
    </row>
    <row r="10" spans="1:4" s="7" customFormat="1">
      <c r="A10" s="10" t="s">
        <v>38</v>
      </c>
      <c r="B10" s="35" t="str">
        <f t="shared" ca="1" si="0"/>
        <v>Equipment</v>
      </c>
      <c r="C10" s="36">
        <f t="shared" ca="1" si="2"/>
        <v>35000</v>
      </c>
      <c r="D10" s="37">
        <f t="shared" ca="1" si="1"/>
        <v>35000</v>
      </c>
    </row>
    <row r="11" spans="1:4" s="7" customFormat="1">
      <c r="A11" s="10" t="s">
        <v>39</v>
      </c>
      <c r="B11" s="35" t="str">
        <f t="shared" ca="1" si="0"/>
        <v>Real Estate</v>
      </c>
      <c r="C11" s="36">
        <f t="shared" ca="1" si="2"/>
        <v>100000</v>
      </c>
      <c r="D11" s="37">
        <f t="shared" ca="1" si="1"/>
        <v>100000</v>
      </c>
    </row>
    <row r="12" spans="1:4" s="7" customFormat="1">
      <c r="A12" s="10" t="s">
        <v>38</v>
      </c>
      <c r="B12" s="35" t="str">
        <f t="shared" ca="1" si="0"/>
        <v>Equipment</v>
      </c>
      <c r="C12" s="36">
        <f t="shared" ca="1" si="2"/>
        <v>35000</v>
      </c>
      <c r="D12" s="37">
        <f t="shared" ca="1" si="1"/>
        <v>35000</v>
      </c>
    </row>
    <row r="13" spans="1:4" s="7" customFormat="1">
      <c r="A13" s="10" t="s">
        <v>41</v>
      </c>
      <c r="B13" s="38" t="str">
        <f t="shared" ca="1" si="0"/>
        <v>Fixed Assets</v>
      </c>
      <c r="C13" s="39">
        <f t="shared" ca="1" si="2"/>
        <v>135000</v>
      </c>
      <c r="D13" s="37">
        <f t="shared" ca="1" si="1"/>
        <v>135000</v>
      </c>
    </row>
    <row r="14" spans="1:4" s="7" customFormat="1">
      <c r="A14" s="10" t="s">
        <v>40</v>
      </c>
      <c r="B14" s="46" t="str">
        <f t="shared" ca="1" si="0"/>
        <v>Total ASSETS</v>
      </c>
      <c r="C14" s="47">
        <f t="shared" ca="1" si="2"/>
        <v>169758.18</v>
      </c>
      <c r="D14" s="32">
        <f t="shared" ca="1" si="1"/>
        <v>171070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>Current Liabilities</v>
      </c>
      <c r="C16" s="40">
        <f ca="1">BAmount(File0,$A16)</f>
        <v>126.37</v>
      </c>
      <c r="D16" s="37">
        <f t="shared" ca="1" si="1"/>
        <v>1551.82</v>
      </c>
    </row>
    <row r="17" spans="1:4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1"/>
        <v>80000</v>
      </c>
    </row>
    <row r="18" spans="1:4">
      <c r="A18" s="10" t="s">
        <v>44</v>
      </c>
      <c r="B18" s="35" t="str">
        <f ca="1">BAccountDescription(File0,A18)</f>
        <v>Shareholders' Equity</v>
      </c>
      <c r="C18" s="36">
        <f ca="1">BAmount(File0,$A18)</f>
        <v>89631.81</v>
      </c>
      <c r="D18" s="37">
        <f t="shared" ca="1" si="1"/>
        <v>89518.18</v>
      </c>
    </row>
    <row r="19" spans="1:4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1"/>
        <v>171070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3636.36</v>
      </c>
    </row>
    <row r="25" spans="1:4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3390.91</v>
      </c>
    </row>
    <row r="27" spans="1:4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3390.91</v>
      </c>
    </row>
    <row r="29" spans="1:4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7027.27</v>
      </c>
    </row>
    <row r="32" spans="1:4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2518.1799999999998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3" sqref="A23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70" t="str">
        <f ca="1">BInfo( File0,"Base","HeaderLeft")</f>
        <v>Sibex Ltd</v>
      </c>
    </row>
    <row r="2" spans="1:9" ht="15.75">
      <c r="A2" s="27" t="s">
        <v>69</v>
      </c>
    </row>
    <row r="3" spans="1:9">
      <c r="A3" t="s">
        <v>65</v>
      </c>
      <c r="B3" s="65">
        <f ca="1">BStartPeriod(File0)</f>
        <v>42005</v>
      </c>
    </row>
    <row r="4" spans="1:9">
      <c r="A4" t="s">
        <v>64</v>
      </c>
      <c r="B4" s="65">
        <f ca="1">BEndPeriod(File0)</f>
        <v>42369</v>
      </c>
    </row>
    <row r="5" spans="1:9">
      <c r="A5" s="55" t="s">
        <v>58</v>
      </c>
      <c r="B5" s="55"/>
      <c r="C5" s="61" t="s">
        <v>59</v>
      </c>
      <c r="D5" s="78" t="s">
        <v>60</v>
      </c>
      <c r="E5" s="78" t="s">
        <v>61</v>
      </c>
      <c r="F5" s="79" t="s">
        <v>66</v>
      </c>
      <c r="G5" s="79" t="s">
        <v>62</v>
      </c>
    </row>
    <row r="6" spans="1:9">
      <c r="A6" s="75"/>
      <c r="B6" s="59" t="s">
        <v>63</v>
      </c>
      <c r="C6" s="60">
        <f>SUM(D6:G6)</f>
        <v>1</v>
      </c>
      <c r="D6" s="66">
        <v>0.2</v>
      </c>
      <c r="E6" s="66">
        <v>0.5</v>
      </c>
      <c r="F6" s="68"/>
      <c r="G6" s="67">
        <v>0.3</v>
      </c>
      <c r="I6" s="80"/>
    </row>
    <row r="7" spans="1:9">
      <c r="A7" s="76">
        <v>3220</v>
      </c>
      <c r="B7" s="58" t="str">
        <f t="shared" ref="B7:B14" ca="1" si="0">BAccountDescription(File0,A7)</f>
        <v>Car expenses</v>
      </c>
      <c r="C7" s="56">
        <f ca="1">BAmount(File0,$A7)</f>
        <v>0</v>
      </c>
      <c r="D7" s="57">
        <f ca="1">$C7*D$6</f>
        <v>0</v>
      </c>
      <c r="E7" s="57">
        <f t="shared" ref="E7:G14" ca="1" si="1">$C7*E$6</f>
        <v>0</v>
      </c>
      <c r="F7" s="57">
        <f t="shared" ca="1" si="1"/>
        <v>0</v>
      </c>
      <c r="G7" s="54">
        <f t="shared" ca="1" si="1"/>
        <v>0</v>
      </c>
    </row>
    <row r="8" spans="1:9">
      <c r="A8" s="76">
        <v>3230</v>
      </c>
      <c r="B8" s="58" t="str">
        <f t="shared" ca="1" si="0"/>
        <v>Other insurances</v>
      </c>
      <c r="C8" s="56">
        <f t="shared" ref="C8:C14" ca="1" si="2">BAmount(File0,$A8)</f>
        <v>0</v>
      </c>
      <c r="D8" s="57">
        <f t="shared" ref="D8:D14" ca="1" si="3">$C8*D$6</f>
        <v>0</v>
      </c>
      <c r="E8" s="57">
        <f t="shared" ca="1" si="1"/>
        <v>0</v>
      </c>
      <c r="F8" s="57">
        <f t="shared" ca="1" si="1"/>
        <v>0</v>
      </c>
      <c r="G8" s="54">
        <f t="shared" ca="1" si="1"/>
        <v>0</v>
      </c>
    </row>
    <row r="9" spans="1:9">
      <c r="A9" s="76">
        <v>3240</v>
      </c>
      <c r="B9" s="58" t="str">
        <f t="shared" ca="1" si="0"/>
        <v>Fees</v>
      </c>
      <c r="C9" s="56">
        <f t="shared" ca="1" si="2"/>
        <v>0</v>
      </c>
      <c r="D9" s="57">
        <f t="shared" ca="1" si="3"/>
        <v>0</v>
      </c>
      <c r="E9" s="57">
        <f t="shared" ca="1" si="1"/>
        <v>0</v>
      </c>
      <c r="F9" s="57">
        <f t="shared" ca="1" si="1"/>
        <v>0</v>
      </c>
      <c r="G9" s="54">
        <f t="shared" ca="1" si="1"/>
        <v>0</v>
      </c>
    </row>
    <row r="10" spans="1:9">
      <c r="A10" s="76">
        <v>3250</v>
      </c>
      <c r="B10" s="58" t="str">
        <f t="shared" ca="1" si="0"/>
        <v>Electricity</v>
      </c>
      <c r="C10" s="56">
        <f t="shared" ca="1" si="2"/>
        <v>0</v>
      </c>
      <c r="D10" s="57">
        <f t="shared" ca="1" si="3"/>
        <v>0</v>
      </c>
      <c r="E10" s="57">
        <f t="shared" ca="1" si="1"/>
        <v>0</v>
      </c>
      <c r="F10" s="57">
        <f t="shared" ca="1" si="1"/>
        <v>0</v>
      </c>
      <c r="G10" s="54">
        <f t="shared" ca="1" si="1"/>
        <v>0</v>
      </c>
    </row>
    <row r="11" spans="1:9">
      <c r="A11" s="76">
        <v>3260</v>
      </c>
      <c r="B11" s="58" t="str">
        <f t="shared" ca="1" si="0"/>
        <v>Office supplies</v>
      </c>
      <c r="C11" s="56">
        <f t="shared" ca="1" si="2"/>
        <v>27.27</v>
      </c>
      <c r="D11" s="57">
        <f t="shared" ca="1" si="3"/>
        <v>5.4540000000000006</v>
      </c>
      <c r="E11" s="57">
        <f t="shared" ca="1" si="1"/>
        <v>13.635</v>
      </c>
      <c r="F11" s="57">
        <f t="shared" ca="1" si="1"/>
        <v>0</v>
      </c>
      <c r="G11" s="54">
        <f t="shared" ca="1" si="1"/>
        <v>8.1809999999999992</v>
      </c>
    </row>
    <row r="12" spans="1:9">
      <c r="A12" s="76">
        <v>3270</v>
      </c>
      <c r="B12" s="58" t="str">
        <f t="shared" ca="1" si="0"/>
        <v>Telephone, Fax</v>
      </c>
      <c r="C12" s="56">
        <f t="shared" ca="1" si="2"/>
        <v>345.46</v>
      </c>
      <c r="D12" s="57">
        <f t="shared" ca="1" si="3"/>
        <v>69.091999999999999</v>
      </c>
      <c r="E12" s="57">
        <f t="shared" ca="1" si="1"/>
        <v>172.73</v>
      </c>
      <c r="F12" s="57">
        <f t="shared" ca="1" si="1"/>
        <v>0</v>
      </c>
      <c r="G12" s="54">
        <f t="shared" ca="1" si="1"/>
        <v>103.63799999999999</v>
      </c>
    </row>
    <row r="13" spans="1:9">
      <c r="A13" s="76">
        <v>3280</v>
      </c>
      <c r="B13" s="58" t="str">
        <f t="shared" ca="1" si="0"/>
        <v>Mailing fees</v>
      </c>
      <c r="C13" s="56">
        <f t="shared" ca="1" si="2"/>
        <v>0</v>
      </c>
      <c r="D13" s="57">
        <f t="shared" ca="1" si="3"/>
        <v>0</v>
      </c>
      <c r="E13" s="57">
        <f t="shared" ca="1" si="1"/>
        <v>0</v>
      </c>
      <c r="F13" s="57">
        <f t="shared" ca="1" si="1"/>
        <v>0</v>
      </c>
      <c r="G13" s="54">
        <f t="shared" ca="1" si="1"/>
        <v>0</v>
      </c>
    </row>
    <row r="14" spans="1:9">
      <c r="A14" s="76">
        <v>3290</v>
      </c>
      <c r="B14" s="58" t="str">
        <f t="shared" ca="1" si="0"/>
        <v>Advertising</v>
      </c>
      <c r="C14" s="56">
        <f t="shared" ca="1" si="2"/>
        <v>0</v>
      </c>
      <c r="D14" s="57">
        <f t="shared" ca="1" si="3"/>
        <v>0</v>
      </c>
      <c r="E14" s="57">
        <f t="shared" ca="1" si="1"/>
        <v>0</v>
      </c>
      <c r="F14" s="57">
        <f t="shared" ca="1" si="1"/>
        <v>0</v>
      </c>
      <c r="G14" s="54">
        <f t="shared" ca="1" si="1"/>
        <v>0</v>
      </c>
    </row>
    <row r="15" spans="1:9">
      <c r="A15" s="59"/>
      <c r="B15" s="62" t="s">
        <v>59</v>
      </c>
      <c r="C15" s="63">
        <f ca="1">SUM(C7:C14)</f>
        <v>372.72999999999996</v>
      </c>
      <c r="D15" s="63">
        <f ca="1">SUM(D7:D14)</f>
        <v>74.545999999999992</v>
      </c>
      <c r="E15" s="63">
        <f ca="1">SUM(E7:E14)</f>
        <v>186.36499999999998</v>
      </c>
      <c r="F15" s="63">
        <f ca="1">SUM(F7:F14)</f>
        <v>0</v>
      </c>
      <c r="G15" s="64">
        <f ca="1">SUM(G7:G14)</f>
        <v>111.81899999999999</v>
      </c>
      <c r="H15" s="53"/>
    </row>
    <row r="16" spans="1:9">
      <c r="A16" s="77"/>
      <c r="B16" s="74" t="s">
        <v>71</v>
      </c>
      <c r="C16" s="71">
        <f>SUM(D16:G16)</f>
        <v>300</v>
      </c>
      <c r="D16" s="72">
        <v>100</v>
      </c>
      <c r="E16" s="72">
        <v>100</v>
      </c>
      <c r="F16" s="72"/>
      <c r="G16" s="73">
        <v>100</v>
      </c>
      <c r="H16" s="53"/>
    </row>
    <row r="17" spans="1:8">
      <c r="A17" s="59"/>
      <c r="B17" s="62" t="s">
        <v>72</v>
      </c>
      <c r="C17" s="63">
        <f ca="1">C15-C16</f>
        <v>72.729999999999961</v>
      </c>
      <c r="D17" s="63">
        <f ca="1">D15-D16</f>
        <v>-25.454000000000008</v>
      </c>
      <c r="E17" s="63">
        <f ca="1">E15-E16</f>
        <v>86.364999999999981</v>
      </c>
      <c r="F17" s="63">
        <f ca="1">F15-F16</f>
        <v>0</v>
      </c>
      <c r="G17" s="63">
        <f ca="1">G15-G16</f>
        <v>11.818999999999988</v>
      </c>
      <c r="H17" s="53"/>
    </row>
    <row r="18" spans="1:8">
      <c r="A18" t="s">
        <v>67</v>
      </c>
      <c r="C18" s="69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A30" sqref="A30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70" t="str">
        <f ca="1">BInfo( File0,"Base","HeaderLeft")</f>
        <v>Sibex Ltd</v>
      </c>
    </row>
    <row r="2" spans="1:7">
      <c r="A2" t="s">
        <v>65</v>
      </c>
      <c r="B2" s="65">
        <f ca="1">BStartPeriod(File0)</f>
        <v>42005</v>
      </c>
    </row>
    <row r="3" spans="1:7">
      <c r="A3" t="s">
        <v>64</v>
      </c>
      <c r="B3" s="65">
        <f ca="1">BEndPeriod(File0)</f>
        <v>42369</v>
      </c>
    </row>
    <row r="4" spans="1:7" ht="15.75">
      <c r="A4" s="27" t="s">
        <v>74</v>
      </c>
      <c r="B4" s="18"/>
      <c r="C4" s="18"/>
    </row>
    <row r="5" spans="1:7">
      <c r="A5" s="18" t="s">
        <v>75</v>
      </c>
      <c r="B5" t="s">
        <v>17</v>
      </c>
    </row>
    <row r="6" spans="1:7">
      <c r="A6" s="84"/>
      <c r="B6" s="59"/>
      <c r="C6" s="85" t="s">
        <v>93</v>
      </c>
      <c r="D6" s="86"/>
      <c r="E6" s="86"/>
      <c r="F6" s="87"/>
      <c r="G6" s="59"/>
    </row>
    <row r="7" spans="1:7">
      <c r="A7" s="59"/>
      <c r="B7" s="59"/>
      <c r="C7" s="59" t="s">
        <v>89</v>
      </c>
      <c r="D7" s="59" t="s">
        <v>79</v>
      </c>
      <c r="E7" s="59" t="s">
        <v>80</v>
      </c>
      <c r="F7" s="59" t="s">
        <v>81</v>
      </c>
      <c r="G7" s="59"/>
    </row>
    <row r="8" spans="1:7">
      <c r="A8" s="59" t="s">
        <v>91</v>
      </c>
      <c r="B8" s="59"/>
      <c r="C8" s="59" t="s">
        <v>82</v>
      </c>
      <c r="D8" s="59" t="s">
        <v>84</v>
      </c>
      <c r="E8" s="59" t="s">
        <v>85</v>
      </c>
      <c r="F8" s="59" t="s">
        <v>86</v>
      </c>
      <c r="G8" s="84" t="s">
        <v>59</v>
      </c>
    </row>
    <row r="9" spans="1:7">
      <c r="A9" s="59" t="s">
        <v>82</v>
      </c>
      <c r="B9" s="59" t="s">
        <v>89</v>
      </c>
      <c r="C9" s="81">
        <f t="shared" ref="C9:F12" ca="1" si="0">BAmount(File0,$B$5&amp;":"&amp;$A9&amp;":"&amp;C$8)</f>
        <v>0</v>
      </c>
      <c r="D9" s="81">
        <f t="shared" ca="1" si="0"/>
        <v>0</v>
      </c>
      <c r="E9" s="81">
        <f t="shared" ca="1" si="0"/>
        <v>0</v>
      </c>
      <c r="F9" s="81">
        <f t="shared" ca="1" si="0"/>
        <v>0</v>
      </c>
      <c r="G9" s="83">
        <f ca="1">SUM(C9:F9)</f>
        <v>0</v>
      </c>
    </row>
    <row r="10" spans="1:7">
      <c r="A10" s="59" t="s">
        <v>83</v>
      </c>
      <c r="B10" s="82" t="s">
        <v>76</v>
      </c>
      <c r="C10" s="81">
        <f t="shared" ca="1" si="0"/>
        <v>0</v>
      </c>
      <c r="D10" s="81">
        <f t="shared" ca="1" si="0"/>
        <v>4818.18</v>
      </c>
      <c r="E10" s="81">
        <f t="shared" ca="1" si="0"/>
        <v>1050</v>
      </c>
      <c r="F10" s="81">
        <f t="shared" ca="1" si="0"/>
        <v>0</v>
      </c>
      <c r="G10" s="83">
        <f ca="1">SUM(C10:F10)</f>
        <v>5868.18</v>
      </c>
    </row>
    <row r="11" spans="1:7">
      <c r="A11" s="59" t="s">
        <v>87</v>
      </c>
      <c r="B11" s="82" t="s">
        <v>77</v>
      </c>
      <c r="C11" s="81">
        <f t="shared" ca="1" si="0"/>
        <v>0</v>
      </c>
      <c r="D11" s="81">
        <f t="shared" ca="1" si="0"/>
        <v>0</v>
      </c>
      <c r="E11" s="81">
        <f t="shared" ca="1" si="0"/>
        <v>0</v>
      </c>
      <c r="F11" s="81">
        <f t="shared" ca="1" si="0"/>
        <v>2100</v>
      </c>
      <c r="G11" s="83">
        <f ca="1">SUM(C11:F11)</f>
        <v>2100</v>
      </c>
    </row>
    <row r="12" spans="1:7">
      <c r="A12" s="59" t="s">
        <v>88</v>
      </c>
      <c r="B12" s="82" t="s">
        <v>78</v>
      </c>
      <c r="C12" s="81">
        <f t="shared" ca="1" si="0"/>
        <v>0</v>
      </c>
      <c r="D12" s="81">
        <f t="shared" ca="1" si="0"/>
        <v>0</v>
      </c>
      <c r="E12" s="81">
        <f t="shared" ca="1" si="0"/>
        <v>372.73</v>
      </c>
      <c r="F12" s="81">
        <f t="shared" ca="1" si="0"/>
        <v>0</v>
      </c>
      <c r="G12" s="83">
        <f ca="1">SUM(C12:F12)</f>
        <v>372.73</v>
      </c>
    </row>
    <row r="13" spans="1:7">
      <c r="A13" s="59"/>
      <c r="B13" s="62" t="s">
        <v>59</v>
      </c>
      <c r="C13" s="83">
        <f ca="1">SUM(C9:C12)</f>
        <v>0</v>
      </c>
      <c r="D13" s="83">
        <f ca="1">SUM(D9:D12)</f>
        <v>4818.18</v>
      </c>
      <c r="E13" s="83">
        <f ca="1">SUM(E9:E12)</f>
        <v>1422.73</v>
      </c>
      <c r="F13" s="83">
        <f ca="1">SUM(F9:F12)</f>
        <v>2100</v>
      </c>
      <c r="G13" s="83">
        <f ca="1">SUM(G9:G12)</f>
        <v>8340.91</v>
      </c>
    </row>
    <row r="14" spans="1:7">
      <c r="A14" t="s">
        <v>94</v>
      </c>
    </row>
    <row r="15" spans="1:7">
      <c r="A15" t="s">
        <v>96</v>
      </c>
    </row>
    <row r="17" spans="1:7">
      <c r="A17" s="18" t="s">
        <v>90</v>
      </c>
      <c r="B17" s="18"/>
      <c r="C17" s="18"/>
    </row>
    <row r="18" spans="1:7">
      <c r="A18" s="18" t="s">
        <v>75</v>
      </c>
      <c r="B18" t="s">
        <v>18</v>
      </c>
    </row>
    <row r="19" spans="1:7">
      <c r="A19" s="84"/>
      <c r="B19" s="59"/>
      <c r="C19" s="85" t="s">
        <v>93</v>
      </c>
      <c r="D19" s="86"/>
      <c r="E19" s="86"/>
      <c r="F19" s="87"/>
      <c r="G19" s="59"/>
    </row>
    <row r="20" spans="1:7">
      <c r="A20" s="59" t="s">
        <v>92</v>
      </c>
      <c r="B20" s="59"/>
      <c r="C20" s="59" t="s">
        <v>89</v>
      </c>
      <c r="D20" s="59" t="s">
        <v>79</v>
      </c>
      <c r="E20" s="59" t="s">
        <v>80</v>
      </c>
      <c r="F20" s="59" t="s">
        <v>81</v>
      </c>
      <c r="G20" s="59"/>
    </row>
    <row r="21" spans="1:7">
      <c r="A21" s="59" t="s">
        <v>91</v>
      </c>
      <c r="B21" s="59"/>
      <c r="C21" s="59" t="s">
        <v>82</v>
      </c>
      <c r="D21" s="59" t="s">
        <v>84</v>
      </c>
      <c r="E21" s="59" t="s">
        <v>85</v>
      </c>
      <c r="F21" s="59" t="s">
        <v>86</v>
      </c>
      <c r="G21" s="84" t="s">
        <v>59</v>
      </c>
    </row>
    <row r="22" spans="1:7">
      <c r="A22" s="59" t="s">
        <v>82</v>
      </c>
      <c r="B22" s="59" t="s">
        <v>89</v>
      </c>
      <c r="C22" s="81">
        <f t="shared" ref="C22:F25" ca="1" si="1">BAmount(File0,$B$18&amp;":"&amp;$A22&amp;":"&amp;C$21)</f>
        <v>0</v>
      </c>
      <c r="D22" s="81">
        <f t="shared" ca="1" si="1"/>
        <v>0</v>
      </c>
      <c r="E22" s="81">
        <f t="shared" ca="1" si="1"/>
        <v>0</v>
      </c>
      <c r="F22" s="81">
        <f t="shared" ca="1" si="1"/>
        <v>0</v>
      </c>
      <c r="G22" s="83">
        <f ca="1">SUM(C22:F22)</f>
        <v>0</v>
      </c>
    </row>
    <row r="23" spans="1:7">
      <c r="A23" s="59" t="s">
        <v>83</v>
      </c>
      <c r="B23" s="82" t="s">
        <v>76</v>
      </c>
      <c r="C23" s="81">
        <f t="shared" ca="1" si="1"/>
        <v>0</v>
      </c>
      <c r="D23" s="81">
        <f t="shared" ca="1" si="1"/>
        <v>5909.09</v>
      </c>
      <c r="E23" s="81">
        <f t="shared" ca="1" si="1"/>
        <v>0</v>
      </c>
      <c r="F23" s="81">
        <f t="shared" ca="1" si="1"/>
        <v>0</v>
      </c>
      <c r="G23" s="83">
        <f ca="1">SUM(C23:F23)</f>
        <v>5909.09</v>
      </c>
    </row>
    <row r="24" spans="1:7">
      <c r="A24" s="59" t="s">
        <v>87</v>
      </c>
      <c r="B24" s="82" t="s">
        <v>77</v>
      </c>
      <c r="C24" s="81">
        <f t="shared" ca="1" si="1"/>
        <v>0</v>
      </c>
      <c r="D24" s="81">
        <f t="shared" ca="1" si="1"/>
        <v>2545.4499999999998</v>
      </c>
      <c r="E24" s="81">
        <f t="shared" ca="1" si="1"/>
        <v>0</v>
      </c>
      <c r="F24" s="81">
        <f t="shared" ca="1" si="1"/>
        <v>0</v>
      </c>
      <c r="G24" s="83">
        <f ca="1">SUM(C24:F24)</f>
        <v>2545.4499999999998</v>
      </c>
    </row>
    <row r="25" spans="1:7">
      <c r="A25" s="59" t="s">
        <v>88</v>
      </c>
      <c r="B25" s="82" t="s">
        <v>78</v>
      </c>
      <c r="C25" s="81">
        <f t="shared" ca="1" si="1"/>
        <v>0</v>
      </c>
      <c r="D25" s="81">
        <f t="shared" ca="1" si="1"/>
        <v>0</v>
      </c>
      <c r="E25" s="81">
        <f t="shared" ca="1" si="1"/>
        <v>0</v>
      </c>
      <c r="F25" s="81">
        <f t="shared" ca="1" si="1"/>
        <v>0</v>
      </c>
      <c r="G25" s="83">
        <f ca="1">SUM(C25:F25)</f>
        <v>0</v>
      </c>
    </row>
    <row r="26" spans="1:7">
      <c r="A26" s="59"/>
      <c r="B26" s="62" t="s">
        <v>59</v>
      </c>
      <c r="C26" s="83">
        <f ca="1">SUM(C22:C25)</f>
        <v>0</v>
      </c>
      <c r="D26" s="83">
        <f ca="1">SUM(D22:D25)</f>
        <v>8454.5400000000009</v>
      </c>
      <c r="E26" s="83">
        <f ca="1">SUM(E22:E25)</f>
        <v>0</v>
      </c>
      <c r="F26" s="83">
        <f ca="1">SUM(F22:F25)</f>
        <v>0</v>
      </c>
      <c r="G26" s="83">
        <f ca="1">SUM(G22:G25)</f>
        <v>8454.5400000000009</v>
      </c>
    </row>
    <row r="27" spans="1:7">
      <c r="A27" t="s">
        <v>95</v>
      </c>
    </row>
    <row r="28" spans="1:7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2016-08-30T11:38:07Z</dcterms:modified>
</cp:coreProperties>
</file>