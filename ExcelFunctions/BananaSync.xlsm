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ownloads\ExcelFunctions\"/>
    </mc:Choice>
  </mc:AlternateContent>
  <xr:revisionPtr revIDLastSave="0" documentId="13_ncr:1_{07DD0D3C-6B8E-41B7-ACA7-B7A74FE338CD}" xr6:coauthVersionLast="47" xr6:coauthVersionMax="47" xr10:uidLastSave="{00000000-0000-0000-0000-000000000000}"/>
  <bookViews>
    <workbookView xWindow="3278" yWindow="3278" windowWidth="16200" windowHeight="9397" xr2:uid="{00000000-000D-0000-FFFF-FFFF00000000}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9"/>
  <definedNames>
    <definedName name="DisableConnection">Start!$C$15</definedName>
    <definedName name="File0">Start!$C$11</definedName>
    <definedName name="File1">Start!$C$12</definedName>
    <definedName name="File2">Start!$C$13</definedName>
    <definedName name="_xlnm.Print_Area" localSheetId="1">'Current &amp; Last Yeat'!$B$2:$D$32</definedName>
    <definedName name="RecalcCell">Start!#REF!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7" l="1"/>
  <c r="C6" i="7"/>
  <c r="C3" i="1"/>
  <c r="C11" i="1"/>
  <c r="C13" i="1"/>
  <c r="B3" i="7"/>
  <c r="B4" i="7"/>
  <c r="C4" i="6"/>
  <c r="A1" i="8"/>
  <c r="C21" i="6"/>
  <c r="C12" i="1"/>
  <c r="D5" i="6"/>
  <c r="D26" i="6"/>
  <c r="D14" i="6"/>
  <c r="D9" i="6"/>
  <c r="D8" i="6"/>
  <c r="D10" i="6"/>
  <c r="D4" i="6"/>
  <c r="B2" i="8"/>
  <c r="C5" i="6"/>
  <c r="D29" i="6"/>
  <c r="D7" i="6"/>
  <c r="D13" i="6"/>
  <c r="D21" i="6"/>
  <c r="D6" i="6"/>
  <c r="D19" i="6"/>
  <c r="D25" i="6"/>
  <c r="B2" i="6"/>
  <c r="A1" i="7"/>
  <c r="D18" i="6"/>
  <c r="D24" i="6"/>
  <c r="D32" i="6"/>
  <c r="D22" i="6"/>
  <c r="D12" i="6"/>
  <c r="D31" i="6"/>
  <c r="D11" i="6"/>
  <c r="D16" i="6"/>
  <c r="D30" i="6"/>
  <c r="D17" i="6"/>
  <c r="D27" i="6"/>
  <c r="D28" i="6"/>
  <c r="D6" i="1" l="1"/>
  <c r="B13" i="6"/>
  <c r="F11" i="8"/>
  <c r="D15" i="6"/>
  <c r="B31" i="6"/>
  <c r="B11" i="6"/>
  <c r="C31" i="6"/>
  <c r="C11" i="7"/>
  <c r="B9" i="7"/>
  <c r="C6" i="6"/>
  <c r="C32" i="6"/>
  <c r="F23" i="8"/>
  <c r="C19" i="6"/>
  <c r="D9" i="8"/>
  <c r="D10" i="8"/>
  <c r="D24" i="8"/>
  <c r="B22" i="6"/>
  <c r="C8" i="7"/>
  <c r="C26" i="6"/>
  <c r="C10" i="8"/>
  <c r="D11" i="8"/>
  <c r="E10" i="8"/>
  <c r="C9" i="7"/>
  <c r="C23" i="8"/>
  <c r="C11" i="6"/>
  <c r="B12" i="7"/>
  <c r="C27" i="6"/>
  <c r="F25" i="8"/>
  <c r="C12" i="7"/>
  <c r="B3" i="8"/>
  <c r="B11" i="7"/>
  <c r="C18" i="6"/>
  <c r="C22" i="6"/>
  <c r="B16" i="6"/>
  <c r="E11" i="8"/>
  <c r="E25" i="8"/>
  <c r="B7" i="7"/>
  <c r="B30" i="6"/>
  <c r="B32" i="6"/>
  <c r="B8" i="7"/>
  <c r="C11" i="8"/>
  <c r="B27" i="6"/>
  <c r="C9" i="8"/>
  <c r="C9" i="6"/>
  <c r="B14" i="6"/>
  <c r="B10" i="6"/>
  <c r="D22" i="8"/>
  <c r="C25" i="6"/>
  <c r="C8" i="6"/>
  <c r="C14" i="7"/>
  <c r="C10" i="6"/>
  <c r="C28" i="6"/>
  <c r="C29" i="6"/>
  <c r="E12" i="8"/>
  <c r="F9" i="8"/>
  <c r="C25" i="8"/>
  <c r="E22" i="8"/>
  <c r="B28" i="6"/>
  <c r="D25" i="8"/>
  <c r="B14" i="7"/>
  <c r="B19" i="6"/>
  <c r="B6" i="6"/>
  <c r="B18" i="6"/>
  <c r="C24" i="8"/>
  <c r="B5" i="6"/>
  <c r="B26" i="6"/>
  <c r="F12" i="8"/>
  <c r="B29" i="6"/>
  <c r="C30" i="6"/>
  <c r="C24" i="6"/>
  <c r="C13" i="6"/>
  <c r="B8" i="6"/>
  <c r="D23" i="8"/>
  <c r="B10" i="7"/>
  <c r="D12" i="8"/>
  <c r="F10" i="8"/>
  <c r="C13" i="7"/>
  <c r="F22" i="8"/>
  <c r="C7" i="6"/>
  <c r="B17" i="6"/>
  <c r="C14" i="6"/>
  <c r="C7" i="7"/>
  <c r="B9" i="6"/>
  <c r="C17" i="6"/>
  <c r="E24" i="8"/>
  <c r="E23" i="8"/>
  <c r="C12" i="6"/>
  <c r="B12" i="6"/>
  <c r="F24" i="8"/>
  <c r="C10" i="7"/>
  <c r="B24" i="6"/>
  <c r="B25" i="6"/>
  <c r="E9" i="8"/>
  <c r="B13" i="7"/>
  <c r="C16" i="6"/>
  <c r="B7" i="6"/>
  <c r="C22" i="8"/>
  <c r="C12" i="8"/>
  <c r="F13" i="8" l="1"/>
  <c r="G12" i="8"/>
  <c r="D12" i="7"/>
  <c r="G12" i="7"/>
  <c r="E12" i="7"/>
  <c r="F12" i="7"/>
  <c r="G11" i="8"/>
  <c r="G23" i="8"/>
  <c r="G9" i="7"/>
  <c r="F9" i="7"/>
  <c r="D9" i="7"/>
  <c r="E9" i="7"/>
  <c r="G24" i="8"/>
  <c r="E13" i="8"/>
  <c r="G10" i="8"/>
  <c r="F11" i="7"/>
  <c r="E11" i="7"/>
  <c r="G11" i="7"/>
  <c r="D11" i="7"/>
  <c r="D26" i="8"/>
  <c r="C15" i="7"/>
  <c r="F7" i="7"/>
  <c r="G7" i="7"/>
  <c r="E7" i="7"/>
  <c r="D7" i="7"/>
  <c r="E14" i="7"/>
  <c r="F14" i="7"/>
  <c r="G14" i="7"/>
  <c r="D14" i="7"/>
  <c r="G22" i="8"/>
  <c r="C26" i="8"/>
  <c r="G8" i="7"/>
  <c r="E8" i="7"/>
  <c r="D8" i="7"/>
  <c r="F8" i="7"/>
  <c r="E26" i="8"/>
  <c r="F10" i="7"/>
  <c r="D10" i="7"/>
  <c r="G10" i="7"/>
  <c r="E10" i="7"/>
  <c r="G25" i="8"/>
  <c r="F26" i="8"/>
  <c r="G9" i="8"/>
  <c r="C13" i="8"/>
  <c r="D13" i="8"/>
  <c r="E13" i="7"/>
  <c r="G13" i="7"/>
  <c r="F13" i="7"/>
  <c r="D13" i="7"/>
  <c r="E15" i="7" l="1"/>
  <c r="E17" i="7" s="1"/>
  <c r="D15" i="7"/>
  <c r="D17" i="7" s="1"/>
  <c r="G15" i="7"/>
  <c r="G17" i="7" s="1"/>
  <c r="G26" i="8"/>
  <c r="F15" i="7"/>
  <c r="F17" i="7" s="1"/>
  <c r="G13" i="8"/>
  <c r="C17" i="7"/>
  <c r="C1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ssione" type="4" refreshedVersion="0" background="1">
    <webPr url="http://localhost:8081/v1/doc/company-2014.ac2/info/Base/FileName" htmlTables="1" htmlFormat="all"/>
  </connection>
  <connection id="2" xr16:uid="{00000000-0015-0000-FFFF-FFFF01000000}" name="Connessione1" type="4" refreshedVersion="0" background="1">
    <webPr url="http://localhost:8081/v1/doc/company-2015.ac2/info/Base/FileName" htmlTables="1" htmlFormat="all"/>
  </connection>
  <connection id="3" xr16:uid="{00000000-0015-0000-FFFF-FFFF02000000}" name="Connessione10" type="4" refreshedVersion="0" background="1">
    <webPr url="http://localhost:8081/v1/doc/company-2015.ac2/info/Base/FileName?" htmlTables="1" htmlFormat="all"/>
  </connection>
  <connection id="4" xr16:uid="{00000000-0015-0000-FFFF-FFFF03000000}" name="Connessione100" type="4" refreshedVersion="0" background="1">
    <webPr url="http://localhost:8081/v1/doc/company-2014.ac2/info/Base/FileName?" htmlTables="1" htmlFormat="all"/>
  </connection>
  <connection id="5" xr16:uid="{00000000-0015-0000-FFFF-FFFF04000000}" name="Connessione101" type="4" refreshedVersion="0" background="1">
    <webPr url="http://localhost:8081/v1/doc/company-2015.ac2/info/Base/FileName?" htmlTables="1" htmlFormat="all"/>
  </connection>
  <connection id="6" xr16:uid="{00000000-0015-0000-FFFF-FFFF05000000}" name="Connessione102" type="4" refreshedVersion="0" background="1">
    <webPr url="http://localhost:8081/v1/doc/company-2014.ac2/info/Base/FileName?" htmlTables="1" htmlFormat="all"/>
  </connection>
  <connection id="7" xr16:uid="{00000000-0015-0000-FFFF-FFFF06000000}" name="Connessione103" type="4" refreshedVersion="0" background="1">
    <webPr url="http://localhost:8081/v1/doc/company-2015.ac2/info/Base/FileName?" htmlTables="1" htmlFormat="all"/>
  </connection>
  <connection id="8" xr16:uid="{00000000-0015-0000-FFFF-FFFF07000000}" name="Connessione104" type="4" refreshedVersion="0" background="1">
    <webPr url="http://localhost:8081/v1/doc/company-2014.ac2/info/Base/FileName?" htmlTables="1" htmlFormat="all"/>
  </connection>
  <connection id="9" xr16:uid="{00000000-0015-0000-FFFF-FFFF08000000}" name="Connessione105" type="4" refreshedVersion="0" background="1">
    <webPr url="http://localhost:8081/v1/doc/company-2015.ac2/info/Base/FileName?" htmlTables="1" htmlFormat="all"/>
  </connection>
  <connection id="10" xr16:uid="{00000000-0015-0000-FFFF-FFFF09000000}" name="Connessione106" type="4" refreshedVersion="0" background="1">
    <webPr url="http://localhost:8081/v1/doc/company-2014.ac2/info/Base/FileName?" htmlTables="1" htmlFormat="all"/>
  </connection>
  <connection id="11" xr16:uid="{00000000-0015-0000-FFFF-FFFF0A000000}" name="Connessione107" type="4" refreshedVersion="0" background="1">
    <webPr url="http://localhost:8081/v1/doc/company-2015.ac2/info/Base/FileName?" htmlTables="1" htmlFormat="all"/>
  </connection>
  <connection id="12" xr16:uid="{00000000-0015-0000-FFFF-FFFF0B000000}" name="Connessione108" type="4" refreshedVersion="0" background="1">
    <webPr url="http://localhost:8081/v1/doc/company-2014.ac2/info/Base/FileName?" htmlTables="1" htmlFormat="all"/>
  </connection>
  <connection id="13" xr16:uid="{00000000-0015-0000-FFFF-FFFF0C000000}" name="Connessione109" type="4" refreshedVersion="0" background="1">
    <webPr url="http://localhost:8081/v1/doc/company-2014.ac2/info/Base/FileName?" htmlTables="1" htmlFormat="all"/>
  </connection>
  <connection id="14" xr16:uid="{00000000-0015-0000-FFFF-FFFF0D000000}" name="Connessione11" type="4" refreshedVersion="0" background="1">
    <webPr url="http://localhost:8081/v1/doc/company-2014.ac2/info/Base/FileName?" htmlTables="1" htmlFormat="all"/>
  </connection>
  <connection id="15" xr16:uid="{00000000-0015-0000-FFFF-FFFF0E000000}" name="Connessione110" type="4" refreshedVersion="0" background="1">
    <webPr url="http://localhost:8081/v1/doc/company-2015.ac2/info/Base/FileName?" htmlTables="1" htmlFormat="all"/>
  </connection>
  <connection id="16" xr16:uid="{00000000-0015-0000-FFFF-FFFF0F000000}" name="Connessione111" type="4" refreshedVersion="0" background="1">
    <webPr url="http://localhost:8081/v1/doc/company-2014.ac2/info/Base/FileName?" htmlTables="1" htmlFormat="all"/>
  </connection>
  <connection id="17" xr16:uid="{00000000-0015-0000-FFFF-FFFF10000000}" name="Connessione112" type="4" refreshedVersion="0" background="1">
    <webPr url="http://localhost:8081/v1/doc/company-2015.ac2/info/Base/FileName?" htmlTables="1" htmlFormat="all"/>
  </connection>
  <connection id="18" xr16:uid="{00000000-0015-0000-FFFF-FFFF11000000}" name="Connessione113" type="4" refreshedVersion="0" background="1">
    <webPr url="http://localhost:8081/v1/doc/company-2014.ac2/info/Base/FileName?" htmlTables="1" htmlFormat="all"/>
  </connection>
  <connection id="19" xr16:uid="{00000000-0015-0000-FFFF-FFFF12000000}" name="Connessione114" type="4" refreshedVersion="0" background="1">
    <webPr url="http://localhost:8081/v1/doc/company-2015.ac2/info/Base/FileName?" htmlTables="1" htmlFormat="all"/>
  </connection>
  <connection id="20" xr16:uid="{00000000-0015-0000-FFFF-FFFF13000000}" name="Connessione12" type="4" refreshedVersion="0" background="1">
    <webPr url="http://localhost:8081/v1/doc/company-2015.ac2/info/Base/FileName?" htmlTables="1" htmlFormat="all"/>
  </connection>
  <connection id="21" xr16:uid="{00000000-0015-0000-FFFF-FFFF14000000}" name="Connessione13" type="4" refreshedVersion="0" background="1">
    <webPr url="http://localhost:8081/v1/doc/company-2014.ac2/info/Base/FileName?" htmlTables="1" htmlFormat="all"/>
  </connection>
  <connection id="22" xr16:uid="{00000000-0015-0000-FFFF-FFFF15000000}" name="Connessione14" type="4" refreshedVersion="0" background="1">
    <webPr url="http://localhost:8081/v1/doc/company-2015.ac2/info/Base/FileName?" htmlTables="1" htmlFormat="all"/>
  </connection>
  <connection id="23" xr16:uid="{00000000-0015-0000-FFFF-FFFF16000000}" name="Connessione15" type="4" refreshedVersion="0" background="1">
    <webPr url="http://localhost:8081/v1/doc/company-2014.ac2/info/Base/FileName?" htmlTables="1" htmlFormat="all"/>
  </connection>
  <connection id="24" xr16:uid="{00000000-0015-0000-FFFF-FFFF17000000}" name="Connessione16" type="4" refreshedVersion="0" background="1">
    <webPr url="http://localhost:8081/v1/doc/company-2015.ac2/info/Base/FileName?" htmlTables="1" htmlFormat="all"/>
  </connection>
  <connection id="25" xr16:uid="{00000000-0015-0000-FFFF-FFFF18000000}" name="Connessione17" type="4" refreshedVersion="0" background="1">
    <webPr url="http://localhost:8081/v1/doc/company-2014.ac2/info/Base/FileName?" htmlTables="1" htmlFormat="all"/>
  </connection>
  <connection id="26" xr16:uid="{00000000-0015-0000-FFFF-FFFF19000000}" name="Connessione18" type="4" refreshedVersion="0" background="1">
    <webPr url="http://localhost:8081/v1/doc/company-2015.ac2/info/Base/FileName?" htmlTables="1" htmlFormat="all"/>
  </connection>
  <connection id="27" xr16:uid="{00000000-0015-0000-FFFF-FFFF1A000000}" name="Connessione19" type="4" refreshedVersion="0" background="1">
    <webPr url="http://localhost:8081/v1/doc/company-2014.ac2/info/Base/FileName?" htmlTables="1" htmlFormat="all"/>
  </connection>
  <connection id="28" xr16:uid="{00000000-0015-0000-FFFF-FFFF1B000000}" name="Connessione2" type="4" refreshedVersion="0" background="1">
    <webPr url="http://localhost:8081/v1/doc/company-2014.ac2/info/Base/FileName" htmlTables="1" htmlFormat="all"/>
  </connection>
  <connection id="29" xr16:uid="{00000000-0015-0000-FFFF-FFFF1C000000}" name="Connessione20" type="4" refreshedVersion="0" background="1">
    <webPr url="http://localhost:8081/v1/doc/company-2015.ac2/info/Base/FileName?" htmlTables="1" htmlFormat="all"/>
  </connection>
  <connection id="30" xr16:uid="{00000000-0015-0000-FFFF-FFFF1D000000}" name="Connessione21" type="4" refreshedVersion="0" background="1">
    <webPr url="http://localhost:8081/v1/doc/company-2014.ac2/info/Base/FileName?" htmlTables="1" htmlFormat="all"/>
  </connection>
  <connection id="31" xr16:uid="{00000000-0015-0000-FFFF-FFFF1E000000}" name="Connessione22" type="4" refreshedVersion="0" background="1">
    <webPr url="http://localhost:8081/v1/doc/company-2015.ac2/info/Base/FileName?" htmlTables="1" htmlFormat="all"/>
  </connection>
  <connection id="32" xr16:uid="{00000000-0015-0000-FFFF-FFFF1F000000}" name="Connessione23" type="4" refreshedVersion="0" background="1">
    <webPr url="http://localhost:8081/v1/doc/company-2014.ac2/info/Base/FileName?" htmlTables="1" htmlFormat="all"/>
  </connection>
  <connection id="33" xr16:uid="{00000000-0015-0000-FFFF-FFFF20000000}" name="Connessione24" type="4" refreshedVersion="0" background="1">
    <webPr url="http://localhost:8081/v1/doc/company-2015.ac2/info/Base/FileName?" htmlTables="1" htmlFormat="all"/>
  </connection>
  <connection id="34" xr16:uid="{00000000-0015-0000-FFFF-FFFF21000000}" name="Connessione25" type="4" refreshedVersion="0" background="1">
    <webPr url="http://localhost:8081/v1/doc/company-2014.ac2/info/Base/FileName?" htmlTables="1" htmlFormat="all"/>
  </connection>
  <connection id="35" xr16:uid="{00000000-0015-0000-FFFF-FFFF22000000}" name="Connessione26" type="4" refreshedVersion="0" background="1">
    <webPr url="http://localhost:8081/v1/doc/company-2015.ac2/info/Base/FileName?" htmlTables="1" htmlFormat="all"/>
  </connection>
  <connection id="36" xr16:uid="{00000000-0015-0000-FFFF-FFFF23000000}" name="Connessione27" type="4" refreshedVersion="0" background="1">
    <webPr url="http://localhost:8081/v1/doc/company-2014.ac2/info/Base/FileName?" htmlTables="1" htmlFormat="all"/>
  </connection>
  <connection id="37" xr16:uid="{00000000-0015-0000-FFFF-FFFF24000000}" name="Connessione28" type="4" refreshedVersion="0" background="1">
    <webPr url="http://localhost:8081/v1/doc/company-2015.ac2/info/Base/FileName?" htmlTables="1" htmlFormat="all"/>
  </connection>
  <connection id="38" xr16:uid="{00000000-0015-0000-FFFF-FFFF25000000}" name="Connessione29" type="4" refreshedVersion="0" background="1">
    <webPr url="http://localhost:8081/v1/doc/company-2014.ac2/info/Base/FileName?" htmlTables="1" htmlFormat="all"/>
  </connection>
  <connection id="39" xr16:uid="{00000000-0015-0000-FFFF-FFFF26000000}" name="Connessione3" type="4" refreshedVersion="0" background="1">
    <webPr url="http://localhost:8081/v1/doc/company-2015.ac2/info/Base/FileName" htmlTables="1" htmlFormat="all"/>
  </connection>
  <connection id="40" xr16:uid="{00000000-0015-0000-FFFF-FFFF27000000}" name="Connessione30" type="4" refreshedVersion="0" background="1">
    <webPr url="http://localhost:8081/v1/doc/company-2015.ac2/info/Base/FileName?" htmlTables="1" htmlFormat="all"/>
  </connection>
  <connection id="41" xr16:uid="{00000000-0015-0000-FFFF-FFFF28000000}" name="Connessione31" type="4" refreshedVersion="0" background="1">
    <webPr url="http://localhost:8081/v1/doc/company-2014.ac2/info/Base/FileName?" htmlTables="1" htmlFormat="all"/>
  </connection>
  <connection id="42" xr16:uid="{00000000-0015-0000-FFFF-FFFF29000000}" name="Connessione32" type="4" refreshedVersion="0" background="1">
    <webPr url="http://localhost:8081/v1/doc/company-2015.ac2/info/Base/FileName?" htmlTables="1" htmlFormat="all"/>
  </connection>
  <connection id="43" xr16:uid="{00000000-0015-0000-FFFF-FFFF2A000000}" name="Connessione33" type="4" refreshedVersion="0" background="1">
    <webPr url="http://localhost:8081/v1/doc/company-2014.ac2/info/Base/FileName?" htmlTables="1" htmlFormat="all"/>
  </connection>
  <connection id="44" xr16:uid="{00000000-0015-0000-FFFF-FFFF2B000000}" name="Connessione34" type="4" refreshedVersion="0" background="1">
    <webPr url="http://localhost:8081/v1/doc/company-2015.ac2/info/Base/FileName?" htmlTables="1" htmlFormat="all"/>
  </connection>
  <connection id="45" xr16:uid="{00000000-0015-0000-FFFF-FFFF2C000000}" name="Connessione35" type="4" refreshedVersion="0" background="1">
    <webPr url="http://localhost:8081/v1/doc/company-2014.ac2/info/Base/FileName?" htmlTables="1" htmlFormat="all"/>
  </connection>
  <connection id="46" xr16:uid="{00000000-0015-0000-FFFF-FFFF2D000000}" name="Connessione36" type="4" refreshedVersion="0" background="1">
    <webPr url="http://localhost:8081/v1/doc/company-2015.ac2/info/Base/FileName?" htmlTables="1" htmlFormat="all"/>
  </connection>
  <connection id="47" xr16:uid="{00000000-0015-0000-FFFF-FFFF2E000000}" name="Connessione37" type="4" refreshedVersion="0" background="1">
    <webPr url="http://localhost:8081/v1/doc/company-2014.ac2/info/Base/FileName?" htmlTables="1" htmlFormat="all"/>
  </connection>
  <connection id="48" xr16:uid="{00000000-0015-0000-FFFF-FFFF2F000000}" name="Connessione38" type="4" refreshedVersion="0" background="1">
    <webPr url="http://localhost:8081/v1/doc/company-2015.ac2/info/Base/FileName?" htmlTables="1" htmlFormat="all"/>
  </connection>
  <connection id="49" xr16:uid="{00000000-0015-0000-FFFF-FFFF30000000}" name="Connessione39" type="4" refreshedVersion="0" background="1">
    <webPr url="http://localhost:8081/v1/doc/company-2014.ac2/info/Base/FileName?" htmlTables="1" htmlFormat="all"/>
  </connection>
  <connection id="50" xr16:uid="{00000000-0015-0000-FFFF-FFFF31000000}" name="Connessione4" type="4" refreshedVersion="0" background="1">
    <webPr url="http://localhost:8081/v1/doc/company-2014.ac2/info/Base/FileName" htmlTables="1" htmlFormat="all"/>
  </connection>
  <connection id="51" xr16:uid="{00000000-0015-0000-FFFF-FFFF32000000}" name="Connessione40" type="4" refreshedVersion="0" background="1">
    <webPr url="http://localhost:8081/v1/doc/company-2015.ac2/info/Base/FileName?" htmlTables="1" htmlFormat="all"/>
  </connection>
  <connection id="52" xr16:uid="{00000000-0015-0000-FFFF-FFFF33000000}" name="Connessione41" type="4" refreshedVersion="0" background="1">
    <webPr url="http://localhost:8081/v1/doc/company-2014.ac2/info/Base/FileName?" htmlTables="1" htmlFormat="all"/>
  </connection>
  <connection id="53" xr16:uid="{00000000-0015-0000-FFFF-FFFF34000000}" name="Connessione42" type="4" refreshedVersion="0" background="1">
    <webPr url="http://localhost:8081/v1/doc/company-2015.ac2/info/Base/FileName?" htmlTables="1" htmlFormat="all"/>
  </connection>
  <connection id="54" xr16:uid="{00000000-0015-0000-FFFF-FFFF35000000}" name="Connessione43" type="4" refreshedVersion="0" background="1">
    <webPr url="http://localhost:8081/v1/doc/company-2014.ac2/info/Base/FileName?" htmlTables="1" htmlFormat="all"/>
  </connection>
  <connection id="55" xr16:uid="{00000000-0015-0000-FFFF-FFFF36000000}" name="Connessione44" type="4" refreshedVersion="0" background="1">
    <webPr url="http://localhost:8081/v1/doc/company-2015.ac2/info/Base/FileName?" htmlTables="1" htmlFormat="all"/>
  </connection>
  <connection id="56" xr16:uid="{00000000-0015-0000-FFFF-FFFF37000000}" name="Connessione45" type="4" refreshedVersion="0" background="1">
    <webPr url="http://localhost:8081/v1/doc/company-2014.ac2/info/Base/FileName?" htmlTables="1" htmlFormat="all"/>
  </connection>
  <connection id="57" xr16:uid="{00000000-0015-0000-FFFF-FFFF38000000}" name="Connessione46" type="4" refreshedVersion="0" background="1">
    <webPr url="http://localhost:8081/v1/doc/company-2015.ac2/info/Base/FileName?" htmlTables="1" htmlFormat="all"/>
  </connection>
  <connection id="58" xr16:uid="{00000000-0015-0000-FFFF-FFFF39000000}" name="Connessione47" type="4" refreshedVersion="0" background="1">
    <webPr url="http://localhost:8081/v1/doc/company-2014.ac2/info/Base/FileName?" htmlTables="1" htmlFormat="all"/>
  </connection>
  <connection id="59" xr16:uid="{00000000-0015-0000-FFFF-FFFF3A000000}" name="Connessione48" type="4" refreshedVersion="0" background="1">
    <webPr url="http://localhost:8081/v1/doc/company-2015.ac2/info/Base/FileName?" htmlTables="1" htmlFormat="all"/>
  </connection>
  <connection id="60" xr16:uid="{00000000-0015-0000-FFFF-FFFF3B000000}" name="Connessione49" type="4" refreshedVersion="0" background="1">
    <webPr url="http://localhost:8081/v1/doc/company-2014.ac2/info/Base/FileName?" htmlTables="1" htmlFormat="all"/>
  </connection>
  <connection id="61" xr16:uid="{00000000-0015-0000-FFFF-FFFF3C000000}" name="Connessione5" type="4" refreshedVersion="0" background="1">
    <webPr url="http://localhost:8081/v1/doc/company-2015.ac2/info/Base/FileName" htmlTables="1" htmlFormat="all"/>
  </connection>
  <connection id="62" xr16:uid="{00000000-0015-0000-FFFF-FFFF3D000000}" name="Connessione50" type="4" refreshedVersion="0" background="1">
    <webPr url="http://localhost:8081/v1/doc/company-2015.ac2/info/Base/FileName?" htmlTables="1" htmlFormat="all"/>
  </connection>
  <connection id="63" xr16:uid="{00000000-0015-0000-FFFF-FFFF3E000000}" name="Connessione51" type="4" refreshedVersion="0" background="1">
    <webPr url="http://localhost:8081/v1/doc/company-2014.ac2/info/Base/FileName?" htmlTables="1" htmlFormat="all"/>
  </connection>
  <connection id="64" xr16:uid="{00000000-0015-0000-FFFF-FFFF3F000000}" name="Connessione52" type="4" refreshedVersion="0" background="1">
    <webPr url="http://localhost:8081/v1/doc/company-2015.ac2/info/Base/FileName?" htmlTables="1" htmlFormat="all"/>
  </connection>
  <connection id="65" xr16:uid="{00000000-0015-0000-FFFF-FFFF40000000}" name="Connessione53" type="4" refreshedVersion="0" background="1">
    <webPr url="http://localhost:8081/v1/doc/company-2014.ac2/info/Base/FileName?" htmlTables="1" htmlFormat="all"/>
  </connection>
  <connection id="66" xr16:uid="{00000000-0015-0000-FFFF-FFFF41000000}" name="Connessione54" type="4" refreshedVersion="0" background="1">
    <webPr url="http://localhost:8081/v1/doc/company-2015.ac2/info/Base/FileName?" htmlTables="1" htmlFormat="all"/>
  </connection>
  <connection id="67" xr16:uid="{00000000-0015-0000-FFFF-FFFF42000000}" name="Connessione55" type="4" refreshedVersion="0" background="1">
    <webPr url="http://localhost:8081/v1/doc/company-2014.ac2/info/Base/FileName?" htmlTables="1" htmlFormat="all"/>
  </connection>
  <connection id="68" xr16:uid="{00000000-0015-0000-FFFF-FFFF43000000}" name="Connessione56" type="4" refreshedVersion="0" background="1">
    <webPr url="http://localhost:8081/v1/doc/company-2015.ac2/info/Base/FileName?" htmlTables="1" htmlFormat="all"/>
  </connection>
  <connection id="69" xr16:uid="{00000000-0015-0000-FFFF-FFFF44000000}" name="Connessione57" type="4" refreshedVersion="0" background="1">
    <webPr url="http://localhost:8081/v1/doc/company-2014.ac2/info/Base/FileName?" htmlTables="1" htmlFormat="all"/>
  </connection>
  <connection id="70" xr16:uid="{00000000-0015-0000-FFFF-FFFF45000000}" name="Connessione58" type="4" refreshedVersion="0" background="1">
    <webPr url="http://localhost:8081/v1/doc/company-2015.ac2/info/Base/FileName?" htmlTables="1" htmlFormat="all"/>
  </connection>
  <connection id="71" xr16:uid="{00000000-0015-0000-FFFF-FFFF46000000}" name="Connessione59" type="4" refreshedVersion="0" background="1">
    <webPr url="http://localhost:8081/v1/doc/company-2014.ac2/info/Base/FileName?" htmlTables="1" htmlFormat="all"/>
  </connection>
  <connection id="72" xr16:uid="{00000000-0015-0000-FFFF-FFFF47000000}" name="Connessione6" type="4" refreshedVersion="0" background="1">
    <webPr url="http://localhost:8081/v1/doc/company-2015.ac2/info/Base/FileName?" htmlTables="1" htmlFormat="all"/>
  </connection>
  <connection id="73" xr16:uid="{00000000-0015-0000-FFFF-FFFF48000000}" name="Connessione60" type="4" refreshedVersion="0" background="1">
    <webPr url="http://localhost:8081/v1/doc/company-2015.ac2/info/Base/FileName?" htmlTables="1" htmlFormat="all"/>
  </connection>
  <connection id="74" xr16:uid="{00000000-0015-0000-FFFF-FFFF49000000}" name="Connessione61" type="4" refreshedVersion="0" background="1">
    <webPr url="http://localhost:8081/v1/doc/company-2014.ac2/info/Base/FileName?" htmlTables="1" htmlFormat="all"/>
  </connection>
  <connection id="75" xr16:uid="{00000000-0015-0000-FFFF-FFFF4A000000}" name="Connessione62" type="4" refreshedVersion="0" background="1">
    <webPr url="http://localhost:8081/v1/doc/company-2015.ac2/info/Base/FileName?" htmlTables="1" htmlFormat="all"/>
  </connection>
  <connection id="76" xr16:uid="{00000000-0015-0000-FFFF-FFFF4B000000}" name="Connessione63" type="4" refreshedVersion="0" background="1">
    <webPr url="http://localhost:8081/v1/doc/company-2014.ac2/info/Base/FileName?" htmlTables="1" htmlFormat="all"/>
  </connection>
  <connection id="77" xr16:uid="{00000000-0015-0000-FFFF-FFFF4C000000}" name="Connessione64" type="4" refreshedVersion="0" background="1">
    <webPr url="http://localhost:8081/v1/doc/company-2015.ac2/info/Base/FileName?" htmlTables="1" htmlFormat="all"/>
  </connection>
  <connection id="78" xr16:uid="{00000000-0015-0000-FFFF-FFFF4D000000}" name="Connessione65" type="4" refreshedVersion="0" background="1">
    <webPr url="http://localhost:8081/v1/doc/company-2014.ac2/info/Base/FileName?" htmlTables="1" htmlFormat="all"/>
  </connection>
  <connection id="79" xr16:uid="{00000000-0015-0000-FFFF-FFFF4E000000}" name="Connessione66" type="4" refreshedVersion="0" background="1">
    <webPr url="http://localhost:8081/v1/doc/company-2015.ac2/info/Base/FileName?" htmlTables="1" htmlFormat="all"/>
  </connection>
  <connection id="80" xr16:uid="{00000000-0015-0000-FFFF-FFFF4F000000}" name="Connessione67" type="4" refreshedVersion="0" background="1">
    <webPr url="http://localhost:8081/v1/doc/company-2014.ac2/info/Base/FileName?" htmlTables="1" htmlFormat="all"/>
  </connection>
  <connection id="81" xr16:uid="{00000000-0015-0000-FFFF-FFFF50000000}" name="Connessione68" type="4" refreshedVersion="0" background="1">
    <webPr url="http://localhost:8081/v1/doc/company-2015.ac2/info/Base/FileName?" htmlTables="1" htmlFormat="all"/>
  </connection>
  <connection id="82" xr16:uid="{00000000-0015-0000-FFFF-FFFF51000000}" name="Connessione69" type="4" refreshedVersion="0" background="1">
    <webPr url="http://localhost:8081/v1/doc/company-2014.ac2/info/Base/FileName?" htmlTables="1" htmlFormat="all"/>
  </connection>
  <connection id="83" xr16:uid="{00000000-0015-0000-FFFF-FFFF52000000}" name="Connessione7" type="4" refreshedVersion="0" background="1">
    <webPr url="http://localhost:8081/v1/doc/company-2014.ac2/info/Base/FileName?" htmlTables="1" htmlFormat="all"/>
  </connection>
  <connection id="84" xr16:uid="{00000000-0015-0000-FFFF-FFFF53000000}" name="Connessione70" type="4" refreshedVersion="0" background="1">
    <webPr url="http://localhost:8081/v1/doc/company-2015.ac2/info/Base/FileName?" htmlTables="1" htmlFormat="all"/>
  </connection>
  <connection id="85" xr16:uid="{00000000-0015-0000-FFFF-FFFF54000000}" name="Connessione71" type="4" refreshedVersion="0" background="1">
    <webPr url="http://localhost:8081/v1/doc/company-2014.ac2/info/Base/FileName?" htmlTables="1" htmlFormat="all"/>
  </connection>
  <connection id="86" xr16:uid="{00000000-0015-0000-FFFF-FFFF55000000}" name="Connessione72" type="4" refreshedVersion="0" background="1">
    <webPr url="http://localhost:8081/v1/doc/company-2015.ac2/info/Base/FileName?" htmlTables="1" htmlFormat="all"/>
  </connection>
  <connection id="87" xr16:uid="{00000000-0015-0000-FFFF-FFFF56000000}" name="Connessione73" type="4" refreshedVersion="0" background="1">
    <webPr url="http://localhost:8081/v1/doc/company-2014.ac2/info/Base/FileName?" htmlTables="1" htmlFormat="all"/>
  </connection>
  <connection id="88" xr16:uid="{00000000-0015-0000-FFFF-FFFF57000000}" name="Connessione74" type="4" refreshedVersion="0" background="1">
    <webPr url="http://localhost:8081/v1/doc/company-2015.ac2/info/Base/FileName?" htmlTables="1" htmlFormat="all"/>
  </connection>
  <connection id="89" xr16:uid="{00000000-0015-0000-FFFF-FFFF58000000}" name="Connessione75" type="4" refreshedVersion="0" background="1">
    <webPr url="http://localhost:8081/v1/doc/company-2014.ac2/info/Base/FileName?" htmlTables="1" htmlFormat="all"/>
  </connection>
  <connection id="90" xr16:uid="{00000000-0015-0000-FFFF-FFFF59000000}" name="Connessione76" type="4" refreshedVersion="0" background="1">
    <webPr url="http://localhost:8081/v1/doc/company-2015.ac2/info/Base/FileName?" htmlTables="1" htmlFormat="all"/>
  </connection>
  <connection id="91" xr16:uid="{00000000-0015-0000-FFFF-FFFF5A000000}" name="Connessione77" type="4" refreshedVersion="0" background="1">
    <webPr url="http://localhost:8081/v1/doc/company-2014.ac2/info/Base/FileName?" htmlTables="1" htmlFormat="all"/>
  </connection>
  <connection id="92" xr16:uid="{00000000-0015-0000-FFFF-FFFF5B000000}" name="Connessione78" type="4" refreshedVersion="0" background="1">
    <webPr url="http://localhost:8081/v1/doc/company-2015.ac2/info/Base/FileName?" htmlTables="1" htmlFormat="all"/>
  </connection>
  <connection id="93" xr16:uid="{00000000-0015-0000-FFFF-FFFF5C000000}" name="Connessione79" type="4" refreshedVersion="0" background="1">
    <webPr url="http://localhost:8081/v1/doc/company-2014.ac2/info/Base/FileName?" htmlTables="1" htmlFormat="all"/>
  </connection>
  <connection id="94" xr16:uid="{00000000-0015-0000-FFFF-FFFF5D000000}" name="Connessione8" type="4" refreshedVersion="0" background="1">
    <webPr url="http://localhost:8081/v1/doc/company-2015.ac2/info/Base/FileName?" htmlTables="1" htmlFormat="all"/>
  </connection>
  <connection id="95" xr16:uid="{00000000-0015-0000-FFFF-FFFF5E000000}" name="Connessione80" type="4" refreshedVersion="0" background="1">
    <webPr url="http://localhost:8081/v1/doc/company-2015.ac2/info/Base/FileName?" htmlTables="1" htmlFormat="all"/>
  </connection>
  <connection id="96" xr16:uid="{00000000-0015-0000-FFFF-FFFF5F000000}" name="Connessione81" type="4" refreshedVersion="0" background="1">
    <webPr url="http://localhost:8081/v1/doc/company-2014.ac2/info/Base/FileName?" htmlTables="1" htmlFormat="all"/>
  </connection>
  <connection id="97" xr16:uid="{00000000-0015-0000-FFFF-FFFF60000000}" name="Connessione82" type="4" refreshedVersion="0" background="1">
    <webPr url="http://localhost:8081/v1/doc/company-2015.ac2/info/Base/FileName?" htmlTables="1" htmlFormat="all"/>
  </connection>
  <connection id="98" xr16:uid="{00000000-0015-0000-FFFF-FFFF61000000}" name="Connessione83" type="4" refreshedVersion="0" background="1">
    <webPr url="http://localhost:8081/v1/doc/company-2014.ac2/info/Base/FileName?" htmlTables="1" htmlFormat="all"/>
  </connection>
  <connection id="99" xr16:uid="{00000000-0015-0000-FFFF-FFFF62000000}" name="Connessione84" type="4" refreshedVersion="0" background="1">
    <webPr url="http://localhost:8081/v1/doc/company-2015.ac2/info/Base/FileName?" htmlTables="1" htmlFormat="all"/>
  </connection>
  <connection id="100" xr16:uid="{00000000-0015-0000-FFFF-FFFF63000000}" name="Connessione85" type="4" refreshedVersion="0" background="1">
    <webPr url="http://localhost:8081/v1/doc/company-2014.ac2/info/Base/FileName?" htmlTables="1" htmlFormat="all"/>
  </connection>
  <connection id="101" xr16:uid="{00000000-0015-0000-FFFF-FFFF64000000}" name="Connessione86" type="4" refreshedVersion="0" background="1">
    <webPr url="http://localhost:8081/v1/doc/company-2015.ac2/info/Base/FileName?" htmlTables="1" htmlFormat="all"/>
  </connection>
  <connection id="102" xr16:uid="{00000000-0015-0000-FFFF-FFFF65000000}" name="Connessione87" type="4" refreshedVersion="0" background="1">
    <webPr url="http://localhost:8081/v1/doc/company-2014.ac2/info/Base/FileName?" htmlTables="1" htmlFormat="all"/>
  </connection>
  <connection id="103" xr16:uid="{00000000-0015-0000-FFFF-FFFF66000000}" name="Connessione88" type="4" refreshedVersion="0" background="1">
    <webPr url="http://localhost:8081/v1/doc/company-2015.ac2/info/Base/FileName?" htmlTables="1" htmlFormat="all"/>
  </connection>
  <connection id="104" xr16:uid="{00000000-0015-0000-FFFF-FFFF67000000}" name="Connessione89" type="4" refreshedVersion="0" background="1">
    <webPr url="http://localhost:8081/v1/doc/company-2014.ac2/info/Base/FileName?" htmlTables="1" htmlFormat="all"/>
  </connection>
  <connection id="105" xr16:uid="{00000000-0015-0000-FFFF-FFFF68000000}" name="Connessione9" type="4" refreshedVersion="0" background="1">
    <webPr url="http://localhost:8081/v1/doc/company-2014.ac2/info/Base/FileName?" htmlTables="1" htmlFormat="all"/>
  </connection>
  <connection id="106" xr16:uid="{00000000-0015-0000-FFFF-FFFF69000000}" name="Connessione90" type="4" refreshedVersion="0" background="1">
    <webPr url="http://localhost:8081/v1/doc/company-2015.ac2/info/Base/FileName?" htmlTables="1" htmlFormat="all"/>
  </connection>
  <connection id="107" xr16:uid="{00000000-0015-0000-FFFF-FFFF6A000000}" name="Connessione91" type="4" refreshedVersion="0" background="1">
    <webPr url="http://localhost:8081/v1/doc/company-2014.ac2/info/Base/FileName?" htmlTables="1" htmlFormat="all"/>
  </connection>
  <connection id="108" xr16:uid="{00000000-0015-0000-FFFF-FFFF6B000000}" name="Connessione92" type="4" refreshedVersion="0" background="1">
    <webPr url="http://localhost:8081/v1/doc/company-2015.ac2/info/Base/FileName?" htmlTables="1" htmlFormat="all"/>
  </connection>
  <connection id="109" xr16:uid="{00000000-0015-0000-FFFF-FFFF6C000000}" name="Connessione93" type="4" refreshedVersion="0" background="1">
    <webPr url="http://localhost:8081/v1/doc/company-2014.ac2/info/Base/FileName?" htmlTables="1" htmlFormat="all"/>
  </connection>
  <connection id="110" xr16:uid="{00000000-0015-0000-FFFF-FFFF6D000000}" name="Connessione94" type="4" refreshedVersion="0" background="1">
    <webPr url="http://localhost:8081/v1/doc/company-2015.ac2/info/Base/FileName?" htmlTables="1" htmlFormat="all"/>
  </connection>
  <connection id="111" xr16:uid="{00000000-0015-0000-FFFF-FFFF6E000000}" name="Connessione95" type="4" refreshedVersion="0" background="1">
    <webPr url="http://localhost:8081/v1/doc/company-2014.ac2/info/Base/FileName?" htmlTables="1" htmlFormat="all"/>
  </connection>
  <connection id="112" xr16:uid="{00000000-0015-0000-FFFF-FFFF6F000000}" name="Connessione96" type="4" refreshedVersion="0" background="1">
    <webPr url="http://localhost:8081/v1/doc/company-2015/info/Base/FileName?" htmlTables="1" htmlFormat="all"/>
  </connection>
  <connection id="113" xr16:uid="{00000000-0015-0000-FFFF-FFFF70000000}" name="Connessione97" type="4" refreshedVersion="0" background="1">
    <webPr url="http://localhost:8081/v1/doc/company-2015/info/Base/FileName?" htmlTables="1" htmlFormat="all"/>
  </connection>
  <connection id="114" xr16:uid="{00000000-0015-0000-FFFF-FFFF71000000}" name="Connessione98" type="4" refreshedVersion="0" background="1">
    <webPr url="http://localhost:8081/v1/doc/company-2015.ac2/info/Base/FileName?" htmlTables="1" htmlFormat="all"/>
  </connection>
  <connection id="115" xr16:uid="{00000000-0015-0000-FFFF-FFFF72000000}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<sst xmlns="http://schemas.openxmlformats.org/spreadsheetml/2006/main" count="131" uniqueCount="97">
  <si>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</si>
  <si>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</si>
  <si>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</si>
  <si>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</si>
  <si>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</si>
  <si>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</si>
  <si>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</si>
  <si>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</si>
  <si>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</si>
  <si>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</si>
  <si>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</si>
  <si>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</si>
  <si>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</si>
  <si>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</si>
  <si>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</si>
  <si>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</si>
  <si>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</si>
  <si>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</si>
  <si>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</si>
  <si>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</si>
  <si>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</si>
  <si>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</si>
  <si>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</si>
  <si>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</si>
  <si>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</si>
  <si>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</si>
  <si>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</si>
  <si>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</si>
  <si>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</si>
  <si>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</si>
  <si>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</si>
  <si>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</si>
  <si>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</si>
  <si>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</si>
  <si>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</si>
  <si>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</si>
  <si>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</si>
  <si>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</si>
  <si>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</si>
  <si>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</si>
  <si>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</si>
  <si>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</si>
  <si>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</si>
  <si>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</si>
  <si>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</si>
  <si>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</si>
  <si>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</si>
  <si>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</si>
  <si>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</si>
  <si>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</si>
  <si>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</si>
  <si>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</si>
  <si>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</si>
  <si>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</si>
  <si>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</si>
  <si>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</si>
  <si>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</si>
  <si>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</si>
  <si>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</si>
  <si>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</si>
  <si>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</si>
  <si>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</si>
  <si>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</si>
  <si>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</si>
  <si>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</si>
  <si>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</si>
  <si>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</si>
  <si>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</si>
  <si>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</si>
  <si>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</si>
  <si>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</si>
  <si>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</si>
  <si>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</si>
  <si>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</si>
  <si>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</si>
  <si>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</si>
  <si>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</si>
  <si>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</si>
  <si>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</si>
  <si>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</si>
  <si>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</si>
  <si>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</si>
  <si>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</si>
  <si>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</si>
  <si>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</si>
  <si>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</si>
  <si>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</si>
  <si>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</si>
  <si>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</si>
  <si>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</si>
  <si>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</si>
  <si>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{} Not assigned to check if all accounts have a segment</t>
  </si>
  <si>
    <t>Sibex Ltd</t>
  </si>
  <si>
    <t>company-2020.ac2</t>
  </si>
  <si>
    <t>company-2019.ac2</t>
  </si>
  <si>
    <t>Formula example: BAmount("Gr=3:LU:SA")</t>
  </si>
  <si>
    <t>Formula example: BAmount("Gr=4:LU:SA")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</si>
</sst>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7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/>
    <xf numFmtId="0" fontId="9" fillId="0" borderId="0" xfId="0" applyFont="1" applyAlignment="1">
      <alignment vertical="center" wrapText="1"/>
    </xf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13" fillId="0" borderId="0" xfId="2"/>
    <xf numFmtId="0" fontId="14" fillId="0" borderId="0" xfId="0" applyFont="1"/>
    <xf numFmtId="14" fontId="8" fillId="0" borderId="0" xfId="1" applyNumberFormat="1" applyFont="1"/>
    <xf numFmtId="0" fontId="15" fillId="0" borderId="0" xfId="0" applyFont="1" applyAlignment="1">
      <alignment vertical="center"/>
    </xf>
    <xf numFmtId="0" fontId="16" fillId="0" borderId="0" xfId="0" applyFont="1"/>
    <xf numFmtId="164" fontId="8" fillId="0" borderId="3" xfId="1" applyFont="1" applyBorder="1"/>
    <xf numFmtId="164" fontId="17" fillId="0" borderId="0" xfId="1" applyFo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5" xfId="1" applyFont="1" applyBorder="1"/>
    <xf numFmtId="0" fontId="9" fillId="0" borderId="4" xfId="0" applyFont="1" applyBorder="1" applyAlignment="1">
      <alignment vertical="center" wrapText="1"/>
    </xf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/>
    <xf numFmtId="0" fontId="0" fillId="0" borderId="5" xfId="0" applyBorder="1"/>
    <xf numFmtId="164" fontId="0" fillId="0" borderId="0" xfId="0" applyNumberFormat="1"/>
    <xf numFmtId="164" fontId="0" fillId="0" borderId="5" xfId="0" applyNumberFormat="1" applyBorder="1"/>
    <xf numFmtId="0" fontId="0" fillId="0" borderId="8" xfId="0" applyBorder="1"/>
    <xf numFmtId="164" fontId="8" fillId="0" borderId="9" xfId="1" applyFont="1" applyBorder="1"/>
    <xf numFmtId="164" fontId="0" fillId="0" borderId="9" xfId="0" applyNumberFormat="1" applyBorder="1"/>
    <xf numFmtId="0" fontId="7" fillId="0" borderId="9" xfId="0" applyFont="1" applyBorder="1" applyAlignment="1">
      <alignment vertical="center" wrapText="1"/>
    </xf>
    <xf numFmtId="0" fontId="0" fillId="0" borderId="6" xfId="0" applyBorder="1"/>
    <xf numFmtId="9" fontId="0" fillId="0" borderId="6" xfId="0" applyNumberFormat="1" applyBorder="1"/>
    <xf numFmtId="0" fontId="11" fillId="0" borderId="8" xfId="0" applyFont="1" applyBorder="1"/>
    <xf numFmtId="0" fontId="20" fillId="0" borderId="6" xfId="0" applyFont="1" applyBorder="1" applyAlignment="1">
      <alignment vertical="center" wrapText="1"/>
    </xf>
    <xf numFmtId="164" fontId="11" fillId="0" borderId="6" xfId="1" applyFont="1" applyBorder="1"/>
    <xf numFmtId="164" fontId="11" fillId="0" borderId="3" xfId="1" applyFont="1" applyBorder="1"/>
    <xf numFmtId="166" fontId="0" fillId="0" borderId="0" xfId="0" applyNumberFormat="1"/>
    <xf numFmtId="9" fontId="0" fillId="2" borderId="6" xfId="0" applyNumberFormat="1" applyFill="1" applyBorder="1"/>
    <xf numFmtId="9" fontId="0" fillId="2" borderId="3" xfId="0" applyNumberFormat="1" applyFill="1" applyBorder="1"/>
    <xf numFmtId="9" fontId="21" fillId="2" borderId="6" xfId="0" applyNumberFormat="1" applyFont="1" applyFill="1" applyBorder="1"/>
    <xf numFmtId="0" fontId="22" fillId="0" borderId="0" xfId="0" applyFont="1"/>
    <xf numFmtId="164" fontId="5" fillId="0" borderId="9" xfId="1" applyBorder="1"/>
    <xf numFmtId="164" fontId="5" fillId="2" borderId="9" xfId="1" applyFill="1" applyBorder="1"/>
    <xf numFmtId="164" fontId="5" fillId="2" borderId="5" xfId="1" applyFill="1" applyBorder="1"/>
    <xf numFmtId="0" fontId="23" fillId="0" borderId="9" xfId="0" applyFont="1" applyBorder="1" applyAlignment="1">
      <alignment vertical="center" wrapText="1"/>
    </xf>
    <xf numFmtId="0" fontId="0" fillId="0" borderId="10" xfId="0" applyBorder="1"/>
    <xf numFmtId="0" fontId="19" fillId="0" borderId="9" xfId="0" applyFont="1" applyBorder="1" applyAlignment="1">
      <alignment vertical="center" wrapText="1"/>
    </xf>
    <xf numFmtId="0" fontId="0" fillId="0" borderId="9" xfId="0" applyBorder="1"/>
    <xf numFmtId="0" fontId="11" fillId="2" borderId="8" xfId="0" applyFont="1" applyFill="1" applyBorder="1"/>
    <xf numFmtId="0" fontId="11" fillId="2" borderId="7" xfId="0" applyFont="1" applyFill="1" applyBorder="1"/>
    <xf numFmtId="0" fontId="24" fillId="0" borderId="0" xfId="0" applyFont="1" applyAlignment="1">
      <alignment vertical="center"/>
    </xf>
    <xf numFmtId="164" fontId="0" fillId="0" borderId="6" xfId="1" applyFont="1" applyBorder="1"/>
    <xf numFmtId="0" fontId="23" fillId="0" borderId="6" xfId="0" applyFont="1" applyBorder="1" applyAlignment="1">
      <alignment vertical="center" wrapText="1"/>
    </xf>
    <xf numFmtId="0" fontId="11" fillId="0" borderId="6" xfId="0" applyFont="1" applyBorder="1"/>
    <xf numFmtId="0" fontId="26" fillId="0" borderId="0" xfId="0" applyFon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G85"/>
  <sheetViews>
    <sheetView tabSelected="1" workbookViewId="0">
      <selection activeCell="C20" sqref="C20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7" t="s">
        <v>0</v>
      </c>
      <c r="C2" s="16" t="s">
        <v>17</v>
      </c>
    </row>
    <row r="3" spans="2:6">
      <c r="B3" s="17"/>
      <c r="C3" t="str">
        <f>BFunctionsVersion()</f>
        <v>2017-02-01</v>
      </c>
    </row>
    <row r="4" spans="2:6">
      <c r="B4" s="17"/>
    </row>
    <row r="5" spans="2:6">
      <c r="C5" s="21"/>
      <c r="F5" s="20"/>
    </row>
    <row r="6" spans="2:6">
      <c r="B6" s="16" t="s">
        <v>23</v>
      </c>
      <c r="C6" s="18" t="s">
        <v>93</v>
      </c>
      <c r="D6" t="str">
        <f ca="1">IF(C11="","Banana not open, file not open or WebServer not active","Banana Connection OK")</f>
        <v>Banana not open, file not open or WebServer not active</v>
      </c>
    </row>
    <row r="7" spans="2:6">
      <c r="B7" s="16" t="s">
        <v>25</v>
      </c>
      <c r="C7" s="18" t="s">
        <v>94</v>
      </c>
    </row>
    <row r="8" spans="2:6">
      <c r="B8" s="16" t="s">
        <v>26</v>
      </c>
      <c r="C8" s="18"/>
    </row>
    <row r="10" spans="2:6">
      <c r="D10" t="s">
        <v>28</v>
      </c>
    </row>
    <row r="11" spans="2:6">
      <c r="B11" s="16" t="s">
        <v>19</v>
      </c>
      <c r="C11" s="16" t="str">
        <f ca="1">BFileName( C6,DisableConnection)</f>
        <v/>
      </c>
      <c r="D11" t="s">
        <v>24</v>
      </c>
    </row>
    <row r="12" spans="2:6">
      <c r="B12" s="16" t="s">
        <v>20</v>
      </c>
      <c r="C12" s="16" t="str">
        <f ca="1">BFileName( C7,DisableConnection)</f>
        <v/>
      </c>
      <c r="D12" t="s">
        <v>51</v>
      </c>
    </row>
    <row r="13" spans="2:6">
      <c r="B13" s="16" t="s">
        <v>27</v>
      </c>
      <c r="C13" s="16" t="str">
        <f ca="1">BFileName( C8,DisableConnection)</f>
        <v/>
      </c>
    </row>
    <row r="14" spans="2:6">
      <c r="B14" s="16"/>
      <c r="C14" s="16"/>
    </row>
    <row r="15" spans="2:6">
      <c r="B15" s="16" t="s">
        <v>52</v>
      </c>
      <c r="C15" s="68"/>
      <c r="D15" t="s">
        <v>53</v>
      </c>
    </row>
    <row r="16" spans="2:6">
      <c r="D16" t="s">
        <v>54</v>
      </c>
      <c r="E16" s="5"/>
    </row>
    <row r="17" spans="2:7">
      <c r="C17" s="16"/>
      <c r="F17" s="11"/>
      <c r="G17" s="11"/>
    </row>
    <row r="18" spans="2:7">
      <c r="B18" s="9"/>
      <c r="C18" s="10"/>
      <c r="D18" s="10"/>
      <c r="E18" s="11"/>
      <c r="F18" s="11"/>
      <c r="G18" s="11"/>
    </row>
    <row r="19" spans="2:7" ht="17.649999999999999">
      <c r="B19" s="24" t="s">
        <v>21</v>
      </c>
      <c r="C19" s="10"/>
      <c r="D19" s="10"/>
      <c r="E19" s="11"/>
      <c r="F19" s="11"/>
      <c r="G19" s="11"/>
    </row>
    <row r="20" spans="2:7" ht="15.75">
      <c r="B20" s="22" t="s">
        <v>1</v>
      </c>
      <c r="C20" s="10"/>
      <c r="D20" s="10"/>
      <c r="E20" s="11"/>
      <c r="F20" s="11"/>
      <c r="G20" s="11"/>
    </row>
    <row r="21" spans="2:7">
      <c r="B21" t="s">
        <v>22</v>
      </c>
      <c r="C21" s="10"/>
      <c r="D21" s="10"/>
      <c r="E21" s="11"/>
      <c r="F21" s="11"/>
      <c r="G21" s="11"/>
    </row>
    <row r="22" spans="2:7">
      <c r="B22" t="s">
        <v>12</v>
      </c>
      <c r="C22" s="10"/>
      <c r="D22" s="10"/>
      <c r="E22" s="11"/>
      <c r="F22" s="11"/>
      <c r="G22" s="11"/>
    </row>
    <row r="23" spans="2:7">
      <c r="B23" t="s">
        <v>14</v>
      </c>
      <c r="C23" s="10"/>
      <c r="D23" s="10"/>
      <c r="E23" s="11"/>
      <c r="F23" s="11"/>
      <c r="G23" s="11"/>
    </row>
    <row r="24" spans="2:7">
      <c r="C24" s="10"/>
      <c r="D24" s="10"/>
      <c r="E24" s="11"/>
      <c r="F24" s="11"/>
      <c r="G24" s="11"/>
    </row>
    <row r="25" spans="2:7">
      <c r="C25" s="12"/>
      <c r="D25" s="12"/>
      <c r="E25" s="11"/>
      <c r="F25" s="11"/>
      <c r="G25" s="11"/>
    </row>
    <row r="26" spans="2:7" ht="18">
      <c r="B26" s="25" t="s">
        <v>13</v>
      </c>
      <c r="C26" s="10"/>
      <c r="D26" s="10"/>
      <c r="E26" s="11"/>
      <c r="F26" s="11"/>
      <c r="G26" s="11"/>
    </row>
    <row r="27" spans="2:7">
      <c r="B27" s="20" t="s">
        <v>29</v>
      </c>
      <c r="C27" s="10"/>
      <c r="D27" s="10"/>
      <c r="E27" s="11"/>
      <c r="F27" s="11"/>
      <c r="G27" s="11"/>
    </row>
    <row r="28" spans="2:7">
      <c r="B28" t="s">
        <v>2</v>
      </c>
      <c r="C28" s="10"/>
      <c r="D28" s="10"/>
      <c r="E28" s="11"/>
      <c r="F28" s="11"/>
      <c r="G28" s="11"/>
    </row>
    <row r="29" spans="2:7">
      <c r="B29" t="s">
        <v>3</v>
      </c>
      <c r="C29" s="12"/>
      <c r="D29" s="12"/>
      <c r="E29" s="11"/>
      <c r="F29" s="11"/>
      <c r="G29" s="11"/>
    </row>
    <row r="30" spans="2:7">
      <c r="B30" t="s">
        <v>4</v>
      </c>
      <c r="C30" s="10"/>
      <c r="D30" s="10"/>
      <c r="E30" s="11"/>
      <c r="F30" s="11"/>
      <c r="G30" s="11"/>
    </row>
    <row r="31" spans="2:7">
      <c r="B31" t="s">
        <v>5</v>
      </c>
      <c r="C31" s="10"/>
      <c r="D31" s="10"/>
      <c r="E31" s="11"/>
      <c r="F31" s="11"/>
      <c r="G31" s="11"/>
    </row>
    <row r="32" spans="2:7">
      <c r="B32" t="s">
        <v>2</v>
      </c>
      <c r="C32" s="10"/>
      <c r="D32" s="10"/>
      <c r="E32" s="11"/>
      <c r="F32" s="11"/>
      <c r="G32" s="11"/>
    </row>
    <row r="33" spans="2:7">
      <c r="B33" s="21" t="s">
        <v>6</v>
      </c>
      <c r="C33" s="12"/>
      <c r="D33" s="12"/>
      <c r="E33" s="11"/>
      <c r="F33" s="11"/>
      <c r="G33" s="11"/>
    </row>
    <row r="34" spans="2:7">
      <c r="B34" t="s">
        <v>2</v>
      </c>
      <c r="C34" s="10"/>
      <c r="D34" s="10"/>
      <c r="E34" s="11"/>
      <c r="F34" s="11"/>
      <c r="G34" s="11"/>
    </row>
    <row r="35" spans="2:7">
      <c r="B35" t="s">
        <v>7</v>
      </c>
      <c r="C35" s="10"/>
      <c r="D35" s="10"/>
      <c r="E35" s="11"/>
      <c r="F35" s="11"/>
      <c r="G35" s="11"/>
    </row>
    <row r="36" spans="2:7">
      <c r="B36" t="s">
        <v>8</v>
      </c>
      <c r="C36" s="10"/>
      <c r="D36" s="10"/>
      <c r="E36" s="11"/>
      <c r="F36" s="11"/>
      <c r="G36" s="11"/>
    </row>
    <row r="37" spans="2:7">
      <c r="B37" t="s">
        <v>9</v>
      </c>
      <c r="C37" s="15"/>
      <c r="D37" s="15"/>
      <c r="E37" s="8"/>
      <c r="F37" s="8"/>
      <c r="G37" s="8"/>
    </row>
    <row r="38" spans="2:7">
      <c r="B38" t="s">
        <v>10</v>
      </c>
      <c r="C38" s="10"/>
      <c r="D38" s="10"/>
      <c r="E38" s="11"/>
      <c r="F38" s="11"/>
      <c r="G38" s="11"/>
    </row>
    <row r="39" spans="2:7">
      <c r="B39" t="s">
        <v>11</v>
      </c>
      <c r="C39" s="10"/>
      <c r="D39" s="10"/>
      <c r="E39" s="11"/>
      <c r="F39" s="11"/>
      <c r="G39" s="11"/>
    </row>
    <row r="40" spans="2:7">
      <c r="B40" s="7"/>
      <c r="C40" s="15"/>
      <c r="D40" s="15"/>
      <c r="E40" s="8"/>
      <c r="F40" s="8"/>
      <c r="G40" s="8"/>
    </row>
    <row r="41" spans="2:7">
      <c r="B41" s="9"/>
      <c r="C41" s="10"/>
      <c r="D41" s="10"/>
      <c r="E41" s="11"/>
      <c r="F41" s="11"/>
      <c r="G41" s="11"/>
    </row>
    <row r="42" spans="2:7">
      <c r="B42" s="9"/>
      <c r="C42" s="10"/>
      <c r="D42" s="10"/>
      <c r="E42" s="11"/>
      <c r="F42" s="11"/>
      <c r="G42" s="11"/>
    </row>
    <row r="43" spans="2:7">
      <c r="B43" s="9"/>
      <c r="C43" s="12"/>
      <c r="D43" s="12"/>
      <c r="E43" s="11"/>
      <c r="F43" s="11"/>
      <c r="G43" s="11"/>
    </row>
    <row r="44" spans="2:7">
      <c r="B44" s="9"/>
      <c r="C44" s="10"/>
      <c r="D44" s="10"/>
      <c r="E44" s="11"/>
      <c r="F44" s="11"/>
      <c r="G44" s="11"/>
    </row>
    <row r="45" spans="2:7">
      <c r="B45" s="9"/>
      <c r="C45" s="10"/>
      <c r="D45" s="10"/>
      <c r="E45" s="11"/>
      <c r="F45" s="11"/>
      <c r="G45" s="11"/>
    </row>
    <row r="46" spans="2:7">
      <c r="B46" s="10"/>
      <c r="C46" s="12"/>
      <c r="D46" s="12"/>
      <c r="E46" s="8"/>
      <c r="F46" s="8"/>
      <c r="G46" s="8"/>
    </row>
    <row r="47" spans="2:7">
      <c r="B47" s="10"/>
      <c r="C47" s="7"/>
      <c r="D47" s="7"/>
      <c r="E47" s="8"/>
      <c r="F47" s="8"/>
      <c r="G47" s="8"/>
    </row>
    <row r="48" spans="2:7">
      <c r="B48" s="12"/>
      <c r="C48" s="7"/>
      <c r="D48" s="7"/>
      <c r="E48" s="8"/>
      <c r="F48" s="8"/>
      <c r="G48" s="8"/>
    </row>
    <row r="49" spans="1:7">
      <c r="B49" s="7"/>
      <c r="C49" s="13"/>
      <c r="D49" s="13"/>
      <c r="E49" s="8"/>
      <c r="F49" s="8"/>
      <c r="G49" s="8"/>
    </row>
    <row r="50" spans="1:7">
      <c r="A50" t="s">
        <v>92</v>
      </c>
      <c r="B50" s="14" t="s">
        <v>67</v>
      </c>
      <c r="C50" s="8"/>
      <c r="D50" s="8"/>
      <c r="E50" s="8"/>
      <c r="F50" s="8"/>
      <c r="G50" s="8"/>
    </row>
    <row r="51" spans="1:7">
      <c r="B51" s="1"/>
    </row>
    <row r="52" spans="1:7">
      <c r="B52" s="1"/>
      <c r="C52" s="12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2:D78"/>
  <sheetViews>
    <sheetView workbookViewId="0">
      <selection activeCell="B3" sqref="B3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28" t="str">
        <f ca="1">BInfo( "Base","HeaderLeft")</f>
        <v/>
      </c>
      <c r="C2" s="23"/>
    </row>
    <row r="3" spans="1:4" ht="17.25">
      <c r="B3" s="28"/>
      <c r="C3" s="23"/>
    </row>
    <row r="4" spans="1:4">
      <c r="B4" s="32" t="s">
        <v>31</v>
      </c>
      <c r="C4" s="33">
        <f ca="1">BDate(BInfo( "AccountingDataBase","ClosureDate"))</f>
        <v>0</v>
      </c>
      <c r="D4" s="34">
        <f ca="1">BDate(BInfoF( File1,"AccountingDataBase","ClosureDate"))</f>
        <v>0</v>
      </c>
    </row>
    <row r="5" spans="1:4">
      <c r="A5" s="9" t="s">
        <v>30</v>
      </c>
      <c r="B5" s="29" t="str">
        <f ca="1">BAccountDescription(A5)</f>
        <v/>
      </c>
      <c r="C5" s="11">
        <f ca="1">BAmount($A5)</f>
        <v>0</v>
      </c>
      <c r="D5" s="30">
        <f t="shared" ref="D5:D14" ca="1" si="0">BAmountF(File1,$A5)</f>
        <v>0</v>
      </c>
    </row>
    <row r="6" spans="1:4">
      <c r="A6" s="9" t="s">
        <v>32</v>
      </c>
      <c r="B6" s="29" t="str">
        <f t="shared" ref="B6:B13" ca="1" si="1">BAccountDescription(A6)</f>
        <v/>
      </c>
      <c r="C6" s="11">
        <f t="shared" ref="C6:C13" ca="1" si="2">BAmount($A6)</f>
        <v>0</v>
      </c>
      <c r="D6" s="30">
        <f t="shared" ca="1" si="0"/>
        <v>0</v>
      </c>
    </row>
    <row r="7" spans="1:4">
      <c r="A7" s="9" t="s">
        <v>33</v>
      </c>
      <c r="B7" s="29" t="str">
        <f t="shared" ca="1" si="1"/>
        <v/>
      </c>
      <c r="C7" s="11">
        <f t="shared" ca="1" si="2"/>
        <v>0</v>
      </c>
      <c r="D7" s="30">
        <f t="shared" ca="1" si="0"/>
        <v>0</v>
      </c>
    </row>
    <row r="8" spans="1:4">
      <c r="A8" s="9" t="s">
        <v>34</v>
      </c>
      <c r="B8" s="29" t="str">
        <f t="shared" ca="1" si="1"/>
        <v/>
      </c>
      <c r="C8" s="11">
        <f t="shared" ca="1" si="2"/>
        <v>0</v>
      </c>
      <c r="D8" s="30">
        <f t="shared" ca="1" si="0"/>
        <v>0</v>
      </c>
    </row>
    <row r="9" spans="1:4">
      <c r="A9" s="9" t="s">
        <v>35</v>
      </c>
      <c r="B9" s="29" t="str">
        <f t="shared" ca="1" si="1"/>
        <v/>
      </c>
      <c r="C9" s="11">
        <f t="shared" ca="1" si="2"/>
        <v>0</v>
      </c>
      <c r="D9" s="30">
        <f t="shared" ca="1" si="0"/>
        <v>0</v>
      </c>
    </row>
    <row r="10" spans="1:4">
      <c r="A10" s="9" t="s">
        <v>36</v>
      </c>
      <c r="B10" s="29" t="str">
        <f t="shared" ca="1" si="1"/>
        <v/>
      </c>
      <c r="C10" s="11">
        <f t="shared" ca="1" si="2"/>
        <v>0</v>
      </c>
      <c r="D10" s="30">
        <f t="shared" ca="1" si="0"/>
        <v>0</v>
      </c>
    </row>
    <row r="11" spans="1:4">
      <c r="A11" s="9" t="s">
        <v>37</v>
      </c>
      <c r="B11" s="29" t="str">
        <f t="shared" ca="1" si="1"/>
        <v/>
      </c>
      <c r="C11" s="11">
        <f t="shared" ca="1" si="2"/>
        <v>0</v>
      </c>
      <c r="D11" s="30">
        <f t="shared" ca="1" si="0"/>
        <v>0</v>
      </c>
    </row>
    <row r="12" spans="1:4">
      <c r="A12" s="9" t="s">
        <v>36</v>
      </c>
      <c r="B12" s="29" t="str">
        <f t="shared" ca="1" si="1"/>
        <v/>
      </c>
      <c r="C12" s="11">
        <f t="shared" ca="1" si="2"/>
        <v>0</v>
      </c>
      <c r="D12" s="30">
        <f t="shared" ca="1" si="0"/>
        <v>0</v>
      </c>
    </row>
    <row r="13" spans="1:4">
      <c r="A13" s="9" t="s">
        <v>39</v>
      </c>
      <c r="B13" s="29" t="str">
        <f t="shared" ca="1" si="1"/>
        <v/>
      </c>
      <c r="C13" s="11">
        <f t="shared" ca="1" si="2"/>
        <v>0</v>
      </c>
      <c r="D13" s="30">
        <f t="shared" ca="1" si="0"/>
        <v>0</v>
      </c>
    </row>
    <row r="14" spans="1:4">
      <c r="A14" s="9" t="s">
        <v>38</v>
      </c>
      <c r="B14" s="35" t="str">
        <f ca="1">BAccountDescription(A14)</f>
        <v/>
      </c>
      <c r="C14" s="36">
        <f ca="1">BAmount($A14)</f>
        <v>0</v>
      </c>
      <c r="D14" s="26">
        <f t="shared" ca="1" si="0"/>
        <v>0</v>
      </c>
    </row>
    <row r="15" spans="1:4">
      <c r="A15" s="10"/>
      <c r="B15" s="31"/>
      <c r="C15" s="11"/>
      <c r="D15" s="30">
        <f t="shared" ref="D15" ca="1" si="3">BAmount(File1,$A15)</f>
        <v>0</v>
      </c>
    </row>
    <row r="16" spans="1:4">
      <c r="A16" s="10" t="s">
        <v>40</v>
      </c>
      <c r="B16" s="29" t="str">
        <f t="shared" ref="B16:B18" ca="1" si="4">BAccountDescription(A16)</f>
        <v/>
      </c>
      <c r="C16" s="11">
        <f t="shared" ref="C16:C18" ca="1" si="5">BAmount($A16)</f>
        <v>0</v>
      </c>
      <c r="D16" s="26">
        <f ca="1">BAmountF(File1,$A16)</f>
        <v>0</v>
      </c>
    </row>
    <row r="17" spans="1:4">
      <c r="A17" s="9" t="s">
        <v>41</v>
      </c>
      <c r="B17" s="29" t="str">
        <f t="shared" ca="1" si="4"/>
        <v/>
      </c>
      <c r="C17" s="11">
        <f t="shared" ca="1" si="5"/>
        <v>0</v>
      </c>
      <c r="D17" s="26">
        <f ca="1">BAmountF(File1,$A17)</f>
        <v>0</v>
      </c>
    </row>
    <row r="18" spans="1:4">
      <c r="A18" s="9" t="s">
        <v>42</v>
      </c>
      <c r="B18" s="29" t="str">
        <f t="shared" ca="1" si="4"/>
        <v/>
      </c>
      <c r="C18" s="11">
        <f t="shared" ca="1" si="5"/>
        <v>0</v>
      </c>
      <c r="D18" s="26">
        <f ca="1">BAmountF(File1,$A18)</f>
        <v>0</v>
      </c>
    </row>
    <row r="19" spans="1:4">
      <c r="A19" s="9" t="s">
        <v>43</v>
      </c>
      <c r="B19" s="35" t="str">
        <f ca="1">BAccountDescription(A19)</f>
        <v/>
      </c>
      <c r="C19" s="36">
        <f ca="1">BAmount($A19)</f>
        <v>0</v>
      </c>
      <c r="D19" s="26">
        <f ca="1">BAmountF(File1,$A19)</f>
        <v>0</v>
      </c>
    </row>
    <row r="20" spans="1:4">
      <c r="A20" s="9"/>
      <c r="B20" s="10"/>
      <c r="C20" s="11"/>
    </row>
    <row r="21" spans="1:4">
      <c r="A21" s="7"/>
      <c r="B21" s="35"/>
      <c r="C21" s="33">
        <f ca="1">BDate(BInfo("AccountingDataBase","ClosureDate"))</f>
        <v>0</v>
      </c>
      <c r="D21" s="34">
        <f ca="1">BDate(BInfoF( File1,"AccountingDataBase","ClosureDate"))</f>
        <v>0</v>
      </c>
    </row>
    <row r="22" spans="1:4">
      <c r="A22" s="10" t="s">
        <v>16</v>
      </c>
      <c r="B22" s="35" t="str">
        <f ca="1">BAccountDescription(A22)</f>
        <v/>
      </c>
      <c r="C22" s="36">
        <f ca="1">BAmount($A22)</f>
        <v>0</v>
      </c>
      <c r="D22" s="26">
        <f ca="1">BAmountF(File1,$A22)</f>
        <v>0</v>
      </c>
    </row>
    <row r="23" spans="1:4">
      <c r="A23" s="9"/>
      <c r="B23" s="29"/>
      <c r="C23" s="11"/>
      <c r="D23" s="37"/>
    </row>
    <row r="24" spans="1:4">
      <c r="A24" s="10" t="s">
        <v>44</v>
      </c>
      <c r="B24" s="35" t="str">
        <f ca="1">BAccountDescription(A24)</f>
        <v/>
      </c>
      <c r="C24" s="36">
        <f ca="1">BAmount($A24)</f>
        <v>0</v>
      </c>
      <c r="D24" s="26">
        <f t="shared" ref="D24:D32" ca="1" si="6">BAmountF(File1,$A24)</f>
        <v>0</v>
      </c>
    </row>
    <row r="25" spans="1:4">
      <c r="A25" s="10" t="s">
        <v>45</v>
      </c>
      <c r="B25" s="29" t="str">
        <f t="shared" ref="B25:B27" ca="1" si="7">BAccountDescription(A25)</f>
        <v/>
      </c>
      <c r="C25" s="11">
        <f t="shared" ref="C25:C27" ca="1" si="8">BAmount($A25)</f>
        <v>0</v>
      </c>
      <c r="D25" s="26">
        <f t="shared" ca="1" si="6"/>
        <v>0</v>
      </c>
    </row>
    <row r="26" spans="1:4">
      <c r="A26" s="10" t="s">
        <v>46</v>
      </c>
      <c r="B26" s="29" t="str">
        <f t="shared" ca="1" si="7"/>
        <v/>
      </c>
      <c r="C26" s="11">
        <f t="shared" ca="1" si="8"/>
        <v>0</v>
      </c>
      <c r="D26" s="26">
        <f t="shared" ca="1" si="6"/>
        <v>0</v>
      </c>
    </row>
    <row r="27" spans="1:4">
      <c r="A27" s="10" t="s">
        <v>47</v>
      </c>
      <c r="B27" s="29" t="str">
        <f t="shared" ca="1" si="7"/>
        <v/>
      </c>
      <c r="C27" s="11">
        <f t="shared" ca="1" si="8"/>
        <v>0</v>
      </c>
      <c r="D27" s="26">
        <f t="shared" ca="1" si="6"/>
        <v>0</v>
      </c>
    </row>
    <row r="28" spans="1:4">
      <c r="A28" s="10" t="s">
        <v>48</v>
      </c>
      <c r="B28" s="35" t="str">
        <f ca="1">BAccountDescription(A28)</f>
        <v/>
      </c>
      <c r="C28" s="36">
        <f ca="1">BAmount($A28)</f>
        <v>0</v>
      </c>
      <c r="D28" s="26">
        <f t="shared" ca="1" si="6"/>
        <v>0</v>
      </c>
    </row>
    <row r="29" spans="1:4">
      <c r="A29" s="10" t="s">
        <v>49</v>
      </c>
      <c r="B29" s="29" t="str">
        <f t="shared" ref="B29:B32" ca="1" si="9">BAccountDescription(A29)</f>
        <v/>
      </c>
      <c r="C29" s="11">
        <f t="shared" ref="C29:C30" ca="1" si="10">BAmount($A29)</f>
        <v>0</v>
      </c>
      <c r="D29" s="26">
        <f t="shared" ca="1" si="6"/>
        <v>0</v>
      </c>
    </row>
    <row r="30" spans="1:4">
      <c r="A30" s="10" t="s">
        <v>50</v>
      </c>
      <c r="B30" s="29" t="str">
        <f t="shared" ca="1" si="9"/>
        <v/>
      </c>
      <c r="C30" s="11">
        <f t="shared" ca="1" si="10"/>
        <v>0</v>
      </c>
      <c r="D30" s="26">
        <f t="shared" ca="1" si="6"/>
        <v>0</v>
      </c>
    </row>
    <row r="31" spans="1:4">
      <c r="A31" s="10" t="s">
        <v>15</v>
      </c>
      <c r="B31" s="35" t="str">
        <f t="shared" ca="1" si="9"/>
        <v/>
      </c>
      <c r="C31" s="36">
        <f t="shared" ref="C31:C32" ca="1" si="11">BAmount($A31)</f>
        <v>0</v>
      </c>
      <c r="D31" s="26">
        <f t="shared" ca="1" si="6"/>
        <v>0</v>
      </c>
    </row>
    <row r="32" spans="1:4">
      <c r="A32" s="10" t="s">
        <v>18</v>
      </c>
      <c r="B32" s="35" t="str">
        <f t="shared" ca="1" si="9"/>
        <v/>
      </c>
      <c r="C32" s="36">
        <f t="shared" ca="1" si="11"/>
        <v>0</v>
      </c>
      <c r="D32" s="26">
        <f t="shared" ca="1" si="6"/>
        <v>0</v>
      </c>
    </row>
    <row r="33" spans="1:4">
      <c r="A33" s="9"/>
      <c r="B33" s="12"/>
      <c r="C33" s="27"/>
      <c r="D33" s="16"/>
    </row>
    <row r="34" spans="1:4">
      <c r="A34" s="9"/>
      <c r="B34" s="12"/>
      <c r="C34" s="11"/>
    </row>
    <row r="35" spans="1:4">
      <c r="A35" s="9"/>
      <c r="B35" s="10"/>
      <c r="C35" s="11"/>
    </row>
    <row r="36" spans="1:4">
      <c r="A36" s="9"/>
      <c r="B36" s="10"/>
      <c r="C36" s="11"/>
    </row>
    <row r="37" spans="1:4">
      <c r="A37" s="9"/>
      <c r="B37" s="10"/>
      <c r="C37" s="11"/>
    </row>
    <row r="38" spans="1:4">
      <c r="A38" s="10"/>
      <c r="B38" s="12"/>
      <c r="C38" s="8"/>
    </row>
    <row r="39" spans="1:4">
      <c r="A39" s="10"/>
      <c r="B39" s="7"/>
      <c r="C39" s="8"/>
    </row>
    <row r="40" spans="1:4">
      <c r="A40" s="12"/>
      <c r="B40" s="7"/>
      <c r="C40" s="8"/>
    </row>
    <row r="41" spans="1:4">
      <c r="A41" s="7"/>
      <c r="B41" s="13"/>
      <c r="C41" s="8"/>
    </row>
    <row r="42" spans="1:4">
      <c r="A42" s="14"/>
      <c r="B42" s="8"/>
      <c r="C42" s="8"/>
    </row>
    <row r="43" spans="1:4">
      <c r="A43" s="1"/>
    </row>
    <row r="44" spans="1:4">
      <c r="A44" s="1"/>
      <c r="B44" s="12"/>
    </row>
    <row r="45" spans="1:4">
      <c r="A45" s="16"/>
    </row>
    <row r="46" spans="1:4">
      <c r="A46" s="16"/>
    </row>
    <row r="48" spans="1:4">
      <c r="A48" s="19"/>
    </row>
    <row r="49" spans="1:2">
      <c r="A49" s="19"/>
    </row>
    <row r="50" spans="1:2">
      <c r="A50" s="19"/>
    </row>
    <row r="51" spans="1:2">
      <c r="A51" s="19"/>
    </row>
    <row r="52" spans="1:2">
      <c r="A52" s="19"/>
    </row>
    <row r="53" spans="1:2">
      <c r="A53" s="19"/>
    </row>
    <row r="54" spans="1:2">
      <c r="A54" s="19"/>
    </row>
    <row r="55" spans="1:2">
      <c r="A55" s="19"/>
    </row>
    <row r="56" spans="1:2">
      <c r="A56" s="19"/>
    </row>
    <row r="57" spans="1:2">
      <c r="A57" s="19"/>
    </row>
    <row r="58" spans="1:2">
      <c r="A58" s="19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I21"/>
  <sheetViews>
    <sheetView workbookViewId="0">
      <selection activeCell="A2" sqref="A2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54" t="str">
        <f ca="1">BInfo( "Base","HeaderLeft")</f>
        <v/>
      </c>
    </row>
    <row r="2" spans="1:9" ht="15.75">
      <c r="A2" s="22" t="s">
        <v>66</v>
      </c>
    </row>
    <row r="3" spans="1:9">
      <c r="A3" t="s">
        <v>62</v>
      </c>
      <c r="B3" s="50">
        <f ca="1">BStartPeriod()</f>
        <v>0</v>
      </c>
    </row>
    <row r="4" spans="1:9">
      <c r="A4" t="s">
        <v>61</v>
      </c>
      <c r="B4" s="50">
        <f ca="1">BEndPeriod()</f>
        <v>0</v>
      </c>
    </row>
    <row r="5" spans="1:9">
      <c r="A5" s="40" t="s">
        <v>55</v>
      </c>
      <c r="B5" s="40"/>
      <c r="C5" s="46" t="s">
        <v>56</v>
      </c>
      <c r="D5" s="62" t="s">
        <v>57</v>
      </c>
      <c r="E5" s="62" t="s">
        <v>58</v>
      </c>
      <c r="F5" s="63" t="s">
        <v>63</v>
      </c>
      <c r="G5" s="63" t="s">
        <v>59</v>
      </c>
    </row>
    <row r="6" spans="1:9">
      <c r="A6" s="59"/>
      <c r="B6" s="44" t="s">
        <v>60</v>
      </c>
      <c r="C6" s="45">
        <f>SUM(D6:G6)</f>
        <v>1</v>
      </c>
      <c r="D6" s="51">
        <v>0.2</v>
      </c>
      <c r="E6" s="51">
        <v>0.5</v>
      </c>
      <c r="F6" s="53"/>
      <c r="G6" s="52">
        <v>0.3</v>
      </c>
      <c r="I6" s="64"/>
    </row>
    <row r="7" spans="1:9">
      <c r="A7" s="60">
        <v>3220</v>
      </c>
      <c r="B7" s="43" t="str">
        <f ca="1">BAccountDescription(A7)</f>
        <v/>
      </c>
      <c r="C7" s="41">
        <f ca="1">BAmount($A7)</f>
        <v>0</v>
      </c>
      <c r="D7" s="42">
        <f ca="1">$C7*D$6</f>
        <v>0</v>
      </c>
      <c r="E7" s="42">
        <f t="shared" ref="E7:G14" ca="1" si="0">$C7*E$6</f>
        <v>0</v>
      </c>
      <c r="F7" s="42">
        <f t="shared" ca="1" si="0"/>
        <v>0</v>
      </c>
      <c r="G7" s="39">
        <f t="shared" ca="1" si="0"/>
        <v>0</v>
      </c>
    </row>
    <row r="8" spans="1:9">
      <c r="A8" s="60">
        <v>3230</v>
      </c>
      <c r="B8" s="43" t="str">
        <f t="shared" ref="B8:B14" ca="1" si="1">BAccountDescription(A8)</f>
        <v/>
      </c>
      <c r="C8" s="41">
        <f t="shared" ref="C8:C14" ca="1" si="2">BAmount($A8)</f>
        <v>0</v>
      </c>
      <c r="D8" s="42">
        <f t="shared" ref="D8:D14" ca="1" si="3">$C8*D$6</f>
        <v>0</v>
      </c>
      <c r="E8" s="42">
        <f t="shared" ca="1" si="0"/>
        <v>0</v>
      </c>
      <c r="F8" s="42">
        <f t="shared" ca="1" si="0"/>
        <v>0</v>
      </c>
      <c r="G8" s="39">
        <f t="shared" ca="1" si="0"/>
        <v>0</v>
      </c>
    </row>
    <row r="9" spans="1:9">
      <c r="A9" s="60">
        <v>3240</v>
      </c>
      <c r="B9" s="43" t="str">
        <f t="shared" ca="1" si="1"/>
        <v/>
      </c>
      <c r="C9" s="41">
        <f t="shared" ca="1" si="2"/>
        <v>0</v>
      </c>
      <c r="D9" s="42">
        <f t="shared" ca="1" si="3"/>
        <v>0</v>
      </c>
      <c r="E9" s="42">
        <f t="shared" ca="1" si="0"/>
        <v>0</v>
      </c>
      <c r="F9" s="42">
        <f t="shared" ca="1" si="0"/>
        <v>0</v>
      </c>
      <c r="G9" s="39">
        <f t="shared" ca="1" si="0"/>
        <v>0</v>
      </c>
    </row>
    <row r="10" spans="1:9">
      <c r="A10" s="60">
        <v>3250</v>
      </c>
      <c r="B10" s="43" t="str">
        <f t="shared" ca="1" si="1"/>
        <v/>
      </c>
      <c r="C10" s="41">
        <f t="shared" ca="1" si="2"/>
        <v>0</v>
      </c>
      <c r="D10" s="42">
        <f t="shared" ca="1" si="3"/>
        <v>0</v>
      </c>
      <c r="E10" s="42">
        <f t="shared" ca="1" si="0"/>
        <v>0</v>
      </c>
      <c r="F10" s="42">
        <f t="shared" ca="1" si="0"/>
        <v>0</v>
      </c>
      <c r="G10" s="39">
        <f t="shared" ca="1" si="0"/>
        <v>0</v>
      </c>
    </row>
    <row r="11" spans="1:9">
      <c r="A11" s="60">
        <v>3260</v>
      </c>
      <c r="B11" s="43" t="str">
        <f t="shared" ca="1" si="1"/>
        <v/>
      </c>
      <c r="C11" s="41">
        <f t="shared" ca="1" si="2"/>
        <v>0</v>
      </c>
      <c r="D11" s="42">
        <f t="shared" ca="1" si="3"/>
        <v>0</v>
      </c>
      <c r="E11" s="42">
        <f t="shared" ca="1" si="0"/>
        <v>0</v>
      </c>
      <c r="F11" s="42">
        <f t="shared" ca="1" si="0"/>
        <v>0</v>
      </c>
      <c r="G11" s="39">
        <f t="shared" ca="1" si="0"/>
        <v>0</v>
      </c>
    </row>
    <row r="12" spans="1:9">
      <c r="A12" s="60">
        <v>3270</v>
      </c>
      <c r="B12" s="43" t="str">
        <f t="shared" ca="1" si="1"/>
        <v/>
      </c>
      <c r="C12" s="41">
        <f t="shared" ca="1" si="2"/>
        <v>0</v>
      </c>
      <c r="D12" s="42">
        <f t="shared" ca="1" si="3"/>
        <v>0</v>
      </c>
      <c r="E12" s="42">
        <f t="shared" ca="1" si="0"/>
        <v>0</v>
      </c>
      <c r="F12" s="42">
        <f t="shared" ca="1" si="0"/>
        <v>0</v>
      </c>
      <c r="G12" s="39">
        <f t="shared" ca="1" si="0"/>
        <v>0</v>
      </c>
    </row>
    <row r="13" spans="1:9">
      <c r="A13" s="60">
        <v>3280</v>
      </c>
      <c r="B13" s="43" t="str">
        <f t="shared" ca="1" si="1"/>
        <v/>
      </c>
      <c r="C13" s="41">
        <f t="shared" ca="1" si="2"/>
        <v>0</v>
      </c>
      <c r="D13" s="42">
        <f t="shared" ca="1" si="3"/>
        <v>0</v>
      </c>
      <c r="E13" s="42">
        <f t="shared" ca="1" si="0"/>
        <v>0</v>
      </c>
      <c r="F13" s="42">
        <f t="shared" ca="1" si="0"/>
        <v>0</v>
      </c>
      <c r="G13" s="39">
        <f t="shared" ca="1" si="0"/>
        <v>0</v>
      </c>
    </row>
    <row r="14" spans="1:9">
      <c r="A14" s="60">
        <v>3290</v>
      </c>
      <c r="B14" s="43" t="str">
        <f t="shared" ca="1" si="1"/>
        <v/>
      </c>
      <c r="C14" s="41">
        <f t="shared" ca="1" si="2"/>
        <v>0</v>
      </c>
      <c r="D14" s="42">
        <f t="shared" ca="1" si="3"/>
        <v>0</v>
      </c>
      <c r="E14" s="42">
        <f t="shared" ca="1" si="0"/>
        <v>0</v>
      </c>
      <c r="F14" s="42">
        <f t="shared" ca="1" si="0"/>
        <v>0</v>
      </c>
      <c r="G14" s="39">
        <f t="shared" ca="1" si="0"/>
        <v>0</v>
      </c>
    </row>
    <row r="15" spans="1:9">
      <c r="A15" s="44"/>
      <c r="B15" s="47" t="s">
        <v>56</v>
      </c>
      <c r="C15" s="48">
        <f ca="1">SUM(C7:C14)</f>
        <v>0</v>
      </c>
      <c r="D15" s="48">
        <f ca="1">SUM(D7:D14)</f>
        <v>0</v>
      </c>
      <c r="E15" s="48">
        <f ca="1">SUM(E7:E14)</f>
        <v>0</v>
      </c>
      <c r="F15" s="48">
        <f ca="1">SUM(F7:F14)</f>
        <v>0</v>
      </c>
      <c r="G15" s="49">
        <f ca="1">SUM(G7:G14)</f>
        <v>0</v>
      </c>
      <c r="H15" s="38"/>
    </row>
    <row r="16" spans="1:9">
      <c r="A16" s="61"/>
      <c r="B16" s="58" t="s">
        <v>68</v>
      </c>
      <c r="C16" s="55">
        <f>SUM(D16:G16)</f>
        <v>300</v>
      </c>
      <c r="D16" s="56">
        <v>100</v>
      </c>
      <c r="E16" s="56">
        <v>100</v>
      </c>
      <c r="F16" s="56"/>
      <c r="G16" s="57">
        <v>100</v>
      </c>
      <c r="H16" s="38"/>
    </row>
    <row r="17" spans="1:8">
      <c r="A17" s="44"/>
      <c r="B17" s="47" t="s">
        <v>69</v>
      </c>
      <c r="C17" s="48">
        <f ca="1">C15-C16</f>
        <v>-300</v>
      </c>
      <c r="D17" s="48">
        <f ca="1">D15-D16</f>
        <v>-100</v>
      </c>
      <c r="E17" s="48">
        <f ca="1">E15-E16</f>
        <v>-100</v>
      </c>
      <c r="F17" s="48">
        <f ca="1">F15-F16</f>
        <v>0</v>
      </c>
      <c r="G17" s="48">
        <f ca="1">G15-G16</f>
        <v>-100</v>
      </c>
      <c r="H17" s="38"/>
    </row>
    <row r="18" spans="1:8">
      <c r="A18" t="s">
        <v>64</v>
      </c>
      <c r="C18" s="38">
        <f ca="1">C15-SUM(D15:G15)</f>
        <v>0</v>
      </c>
    </row>
    <row r="20" spans="1:8">
      <c r="A20" s="18" t="s">
        <v>70</v>
      </c>
      <c r="B20" s="18"/>
    </row>
    <row r="21" spans="1:8">
      <c r="A21" t="s">
        <v>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G28"/>
  <sheetViews>
    <sheetView workbookViewId="0">
      <selection activeCell="B4" sqref="B4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54" t="str">
        <f ca="1">BInfo( "Base","HeaderLeft")</f>
        <v/>
      </c>
    </row>
    <row r="2" spans="1:7">
      <c r="A2" t="s">
        <v>62</v>
      </c>
      <c r="B2" s="50">
        <f ca="1">BStartPeriod()</f>
        <v>0</v>
      </c>
    </row>
    <row r="3" spans="1:7">
      <c r="A3" t="s">
        <v>61</v>
      </c>
      <c r="B3" s="50">
        <f ca="1">BEndPeriod()</f>
        <v>0</v>
      </c>
    </row>
    <row r="4" spans="1:7" ht="15.75">
      <c r="A4" s="22" t="s">
        <v>71</v>
      </c>
      <c r="B4" s="16"/>
      <c r="C4" s="16"/>
    </row>
    <row r="5" spans="1:7">
      <c r="A5" s="16" t="s">
        <v>72</v>
      </c>
      <c r="B5" t="s">
        <v>15</v>
      </c>
    </row>
    <row r="6" spans="1:7">
      <c r="A6" s="67"/>
      <c r="B6" s="44"/>
      <c r="C6" s="69" t="s">
        <v>90</v>
      </c>
      <c r="D6" s="70"/>
      <c r="E6" s="70"/>
      <c r="F6" s="71"/>
      <c r="G6" s="44"/>
    </row>
    <row r="7" spans="1:7">
      <c r="A7" s="44"/>
      <c r="B7" s="44"/>
      <c r="C7" s="44" t="s">
        <v>86</v>
      </c>
      <c r="D7" s="44" t="s">
        <v>76</v>
      </c>
      <c r="E7" s="44" t="s">
        <v>77</v>
      </c>
      <c r="F7" s="44" t="s">
        <v>78</v>
      </c>
      <c r="G7" s="44"/>
    </row>
    <row r="8" spans="1:7">
      <c r="A8" s="44" t="s">
        <v>88</v>
      </c>
      <c r="B8" s="44"/>
      <c r="C8" s="44" t="s">
        <v>79</v>
      </c>
      <c r="D8" s="44" t="s">
        <v>81</v>
      </c>
      <c r="E8" s="44" t="s">
        <v>82</v>
      </c>
      <c r="F8" s="44" t="s">
        <v>83</v>
      </c>
      <c r="G8" s="67" t="s">
        <v>56</v>
      </c>
    </row>
    <row r="9" spans="1:7">
      <c r="A9" s="44" t="s">
        <v>79</v>
      </c>
      <c r="B9" s="44" t="s">
        <v>86</v>
      </c>
      <c r="C9" s="65">
        <f ca="1">BAmount($B$5&amp;":"&amp;$A9&amp;":"&amp;C$8)</f>
        <v>0</v>
      </c>
      <c r="D9" s="65">
        <f t="shared" ref="D9:F12" ca="1" si="0">BAmount($B$5&amp;":"&amp;$A9&amp;":"&amp;D$8)</f>
        <v>0</v>
      </c>
      <c r="E9" s="65">
        <f t="shared" ca="1" si="0"/>
        <v>0</v>
      </c>
      <c r="F9" s="65">
        <f t="shared" ca="1" si="0"/>
        <v>0</v>
      </c>
      <c r="G9" s="48">
        <f ca="1">SUM(C9:F9)</f>
        <v>0</v>
      </c>
    </row>
    <row r="10" spans="1:7">
      <c r="A10" s="44" t="s">
        <v>80</v>
      </c>
      <c r="B10" s="66" t="s">
        <v>73</v>
      </c>
      <c r="C10" s="65">
        <f t="shared" ref="C10:C12" ca="1" si="1">BAmount($B$5&amp;":"&amp;$A10&amp;":"&amp;C$8)</f>
        <v>0</v>
      </c>
      <c r="D10" s="65">
        <f t="shared" ca="1" si="0"/>
        <v>0</v>
      </c>
      <c r="E10" s="65">
        <f t="shared" ca="1" si="0"/>
        <v>0</v>
      </c>
      <c r="F10" s="65">
        <f t="shared" ca="1" si="0"/>
        <v>0</v>
      </c>
      <c r="G10" s="48">
        <f ca="1">SUM(C10:F10)</f>
        <v>0</v>
      </c>
    </row>
    <row r="11" spans="1:7">
      <c r="A11" s="44" t="s">
        <v>84</v>
      </c>
      <c r="B11" s="66" t="s">
        <v>74</v>
      </c>
      <c r="C11" s="65">
        <f t="shared" ca="1" si="1"/>
        <v>0</v>
      </c>
      <c r="D11" s="65">
        <f t="shared" ca="1" si="0"/>
        <v>0</v>
      </c>
      <c r="E11" s="65">
        <f t="shared" ca="1" si="0"/>
        <v>0</v>
      </c>
      <c r="F11" s="65">
        <f t="shared" ca="1" si="0"/>
        <v>0</v>
      </c>
      <c r="G11" s="48">
        <f ca="1">SUM(C11:F11)</f>
        <v>0</v>
      </c>
    </row>
    <row r="12" spans="1:7">
      <c r="A12" s="44" t="s">
        <v>85</v>
      </c>
      <c r="B12" s="66" t="s">
        <v>75</v>
      </c>
      <c r="C12" s="65">
        <f t="shared" ca="1" si="1"/>
        <v>0</v>
      </c>
      <c r="D12" s="65">
        <f t="shared" ca="1" si="0"/>
        <v>0</v>
      </c>
      <c r="E12" s="65">
        <f t="shared" ca="1" si="0"/>
        <v>0</v>
      </c>
      <c r="F12" s="65">
        <f t="shared" ca="1" si="0"/>
        <v>0</v>
      </c>
      <c r="G12" s="48">
        <f ca="1">SUM(C12:F12)</f>
        <v>0</v>
      </c>
    </row>
    <row r="13" spans="1:7">
      <c r="A13" s="44"/>
      <c r="B13" s="47" t="s">
        <v>56</v>
      </c>
      <c r="C13" s="48">
        <f ca="1">SUM(C9:C12)</f>
        <v>0</v>
      </c>
      <c r="D13" s="48">
        <f ca="1">SUM(D9:D12)</f>
        <v>0</v>
      </c>
      <c r="E13" s="48">
        <f ca="1">SUM(E9:E12)</f>
        <v>0</v>
      </c>
      <c r="F13" s="48">
        <f ca="1">SUM(F9:F12)</f>
        <v>0</v>
      </c>
      <c r="G13" s="48">
        <f ca="1">SUM(G9:G12)</f>
        <v>0</v>
      </c>
    </row>
    <row r="14" spans="1:7">
      <c r="A14" t="s">
        <v>95</v>
      </c>
    </row>
    <row r="15" spans="1:7">
      <c r="A15" t="s">
        <v>91</v>
      </c>
    </row>
    <row r="17" spans="1:7">
      <c r="A17" s="16" t="s">
        <v>87</v>
      </c>
      <c r="B17" s="16"/>
      <c r="C17" s="16"/>
    </row>
    <row r="18" spans="1:7">
      <c r="A18" s="16" t="s">
        <v>72</v>
      </c>
      <c r="B18" t="s">
        <v>16</v>
      </c>
    </row>
    <row r="19" spans="1:7">
      <c r="A19" s="67"/>
      <c r="B19" s="44"/>
      <c r="C19" s="69" t="s">
        <v>90</v>
      </c>
      <c r="D19" s="70"/>
      <c r="E19" s="70"/>
      <c r="F19" s="71"/>
      <c r="G19" s="44"/>
    </row>
    <row r="20" spans="1:7">
      <c r="A20" s="44" t="s">
        <v>89</v>
      </c>
      <c r="B20" s="44"/>
      <c r="C20" s="44" t="s">
        <v>86</v>
      </c>
      <c r="D20" s="44" t="s">
        <v>76</v>
      </c>
      <c r="E20" s="44" t="s">
        <v>77</v>
      </c>
      <c r="F20" s="44" t="s">
        <v>78</v>
      </c>
      <c r="G20" s="44"/>
    </row>
    <row r="21" spans="1:7">
      <c r="A21" s="44" t="s">
        <v>88</v>
      </c>
      <c r="B21" s="44"/>
      <c r="C21" s="44" t="s">
        <v>79</v>
      </c>
      <c r="D21" s="44" t="s">
        <v>81</v>
      </c>
      <c r="E21" s="44" t="s">
        <v>82</v>
      </c>
      <c r="F21" s="44" t="s">
        <v>83</v>
      </c>
      <c r="G21" s="67" t="s">
        <v>56</v>
      </c>
    </row>
    <row r="22" spans="1:7">
      <c r="A22" s="44" t="s">
        <v>79</v>
      </c>
      <c r="B22" s="44" t="s">
        <v>86</v>
      </c>
      <c r="C22" s="65">
        <f ca="1">BAmount($B$18&amp;":"&amp;$A22&amp;":"&amp;C$21)</f>
        <v>0</v>
      </c>
      <c r="D22" s="65">
        <f t="shared" ref="D22:F25" ca="1" si="2">BAmount($B$18&amp;":"&amp;$A22&amp;":"&amp;D$21)</f>
        <v>0</v>
      </c>
      <c r="E22" s="65">
        <f t="shared" ca="1" si="2"/>
        <v>0</v>
      </c>
      <c r="F22" s="65">
        <f t="shared" ca="1" si="2"/>
        <v>0</v>
      </c>
      <c r="G22" s="48">
        <f ca="1">SUM(C22:F22)</f>
        <v>0</v>
      </c>
    </row>
    <row r="23" spans="1:7">
      <c r="A23" s="44" t="s">
        <v>80</v>
      </c>
      <c r="B23" s="66" t="s">
        <v>73</v>
      </c>
      <c r="C23" s="65">
        <f t="shared" ref="C23:C25" ca="1" si="3">BAmount($B$18&amp;":"&amp;$A23&amp;":"&amp;C$21)</f>
        <v>0</v>
      </c>
      <c r="D23" s="65">
        <f t="shared" ca="1" si="2"/>
        <v>0</v>
      </c>
      <c r="E23" s="65">
        <f t="shared" ca="1" si="2"/>
        <v>0</v>
      </c>
      <c r="F23" s="65">
        <f t="shared" ca="1" si="2"/>
        <v>0</v>
      </c>
      <c r="G23" s="48">
        <f ca="1">SUM(C23:F23)</f>
        <v>0</v>
      </c>
    </row>
    <row r="24" spans="1:7">
      <c r="A24" s="44" t="s">
        <v>84</v>
      </c>
      <c r="B24" s="66" t="s">
        <v>74</v>
      </c>
      <c r="C24" s="65">
        <f t="shared" ca="1" si="3"/>
        <v>0</v>
      </c>
      <c r="D24" s="65">
        <f t="shared" ca="1" si="2"/>
        <v>0</v>
      </c>
      <c r="E24" s="65">
        <f t="shared" ca="1" si="2"/>
        <v>0</v>
      </c>
      <c r="F24" s="65">
        <f t="shared" ca="1" si="2"/>
        <v>0</v>
      </c>
      <c r="G24" s="48">
        <f ca="1">SUM(C24:F24)</f>
        <v>0</v>
      </c>
    </row>
    <row r="25" spans="1:7">
      <c r="A25" s="44" t="s">
        <v>85</v>
      </c>
      <c r="B25" s="66" t="s">
        <v>75</v>
      </c>
      <c r="C25" s="65">
        <f t="shared" ca="1" si="3"/>
        <v>0</v>
      </c>
      <c r="D25" s="65">
        <f t="shared" ca="1" si="2"/>
        <v>0</v>
      </c>
      <c r="E25" s="65">
        <f t="shared" ca="1" si="2"/>
        <v>0</v>
      </c>
      <c r="F25" s="65">
        <f t="shared" ca="1" si="2"/>
        <v>0</v>
      </c>
      <c r="G25" s="48">
        <f ca="1">SUM(C25:F25)</f>
        <v>0</v>
      </c>
    </row>
    <row r="26" spans="1:7">
      <c r="A26" s="44"/>
      <c r="B26" s="47" t="s">
        <v>56</v>
      </c>
      <c r="C26" s="48">
        <f ca="1">SUM(C22:C25)</f>
        <v>0</v>
      </c>
      <c r="D26" s="48">
        <f ca="1">SUM(D22:D25)</f>
        <v>0</v>
      </c>
      <c r="E26" s="48">
        <f ca="1">SUM(E22:E25)</f>
        <v>0</v>
      </c>
      <c r="F26" s="48">
        <f ca="1">SUM(F22:F25)</f>
        <v>0</v>
      </c>
      <c r="G26" s="48">
        <f ca="1">SUM(G22:G25)</f>
        <v>0</v>
      </c>
    </row>
    <row r="27" spans="1:7">
      <c r="A27" t="s">
        <v>96</v>
      </c>
    </row>
    <row r="28" spans="1:7">
      <c r="A28" t="s">
        <v>91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DisableConnection</vt:lpstr>
      <vt:lpstr>File0</vt:lpstr>
      <vt:lpstr>File1</vt:lpstr>
      <vt:lpstr>File2</vt:lpstr>
      <vt:lpstr>'Current &amp; Last Yeat'!Print_Area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2023-03-17T09:42:22Z</dcterms:modified>
</cp:coreProperties>
</file>