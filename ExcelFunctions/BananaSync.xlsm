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ico\Documents\GitHub\General\ExcelFunctions\"/>
    </mc:Choice>
  </mc:AlternateContent>
  <bookViews>
    <workbookView xWindow="24750" yWindow="150" windowWidth="25350" windowHeight="12705" activeTab="3"/>
  </bookViews>
  <sheets>
    <sheet name="Start" sheetId="1" r:id="rId1"/>
    <sheet name="Current &amp; Last Yeat" sheetId="6" r:id="rId2"/>
    <sheet name="Cost Division" sheetId="7" r:id="rId3"/>
    <sheet name="Segments" sheetId="8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_xlnm.Print_Area" localSheetId="1">'Current &amp; Last Yeat'!$B$2:$D$32</definedName>
    <definedName name="RecalcCell">Start!#REF!</definedName>
  </definedNames>
  <calcPr calcId="162913"/>
</workbook>
</file>

<file path=xl/calcChain.xml><?xml version="1.0" encoding="utf-8"?>
<calcChain xmlns="http://schemas.openxmlformats.org/spreadsheetml/2006/main">
  <c r="C16" i="7" l="1"/>
  <c r="A1" i="8"/>
  <c r="B3" i="8"/>
  <c r="B2" i="8"/>
  <c r="D24" i="8"/>
  <c r="F25" i="8"/>
  <c r="E25" i="8"/>
  <c r="D25" i="8"/>
  <c r="C25" i="8"/>
  <c r="C23" i="8"/>
  <c r="F22" i="8"/>
  <c r="D23" i="8"/>
  <c r="F24" i="8"/>
  <c r="E24" i="8"/>
  <c r="E22" i="8"/>
  <c r="F23" i="8"/>
  <c r="D22" i="8"/>
  <c r="C24" i="8"/>
  <c r="E23" i="8"/>
  <c r="C22" i="8"/>
  <c r="F12" i="8"/>
  <c r="F10" i="8"/>
  <c r="E10" i="8"/>
  <c r="E12" i="8"/>
  <c r="D12" i="8"/>
  <c r="C10" i="8"/>
  <c r="F9" i="8"/>
  <c r="C12" i="8"/>
  <c r="F11" i="8"/>
  <c r="E9" i="8"/>
  <c r="E11" i="8"/>
  <c r="D9" i="8"/>
  <c r="D11" i="8"/>
  <c r="C9" i="8"/>
  <c r="C11" i="8"/>
  <c r="D10" i="8"/>
  <c r="D26" i="8" l="1"/>
  <c r="E26" i="8"/>
  <c r="F26" i="8"/>
  <c r="G24" i="8"/>
  <c r="C26" i="8"/>
  <c r="G22" i="8"/>
  <c r="G23" i="8"/>
  <c r="G25" i="8"/>
  <c r="G11" i="8"/>
  <c r="G12" i="8"/>
  <c r="G10" i="8"/>
  <c r="G9" i="8"/>
  <c r="D13" i="8"/>
  <c r="E13" i="8"/>
  <c r="F13" i="8"/>
  <c r="C13" i="8"/>
  <c r="C6" i="7"/>
  <c r="B3" i="1"/>
  <c r="B11" i="1"/>
  <c r="B12" i="1"/>
  <c r="B3" i="7"/>
  <c r="B4" i="7"/>
  <c r="B13" i="1"/>
  <c r="D7" i="6"/>
  <c r="C10" i="7"/>
  <c r="B9" i="6"/>
  <c r="C17" i="6"/>
  <c r="D5" i="6"/>
  <c r="C6" i="6"/>
  <c r="B7" i="6"/>
  <c r="C24" i="6"/>
  <c r="D12" i="6"/>
  <c r="B32" i="6"/>
  <c r="C32" i="6"/>
  <c r="D15" i="6"/>
  <c r="B25" i="6"/>
  <c r="B8" i="7"/>
  <c r="B17" i="6"/>
  <c r="D32" i="6"/>
  <c r="C14" i="7"/>
  <c r="D29" i="6"/>
  <c r="C9" i="7"/>
  <c r="C8" i="6"/>
  <c r="C13" i="6"/>
  <c r="B11" i="6"/>
  <c r="B24" i="6"/>
  <c r="D21" i="6"/>
  <c r="B10" i="6"/>
  <c r="C22" i="6"/>
  <c r="B31" i="6"/>
  <c r="D11" i="6"/>
  <c r="B10" i="7"/>
  <c r="B22" i="6"/>
  <c r="B28" i="6"/>
  <c r="B14" i="6"/>
  <c r="B14" i="7"/>
  <c r="C7" i="7"/>
  <c r="A1" i="7"/>
  <c r="C5" i="6"/>
  <c r="C29" i="6"/>
  <c r="B8" i="6"/>
  <c r="D27" i="6"/>
  <c r="B19" i="6"/>
  <c r="B2" i="6"/>
  <c r="B11" i="7"/>
  <c r="C28" i="6"/>
  <c r="C4" i="6"/>
  <c r="C26" i="6"/>
  <c r="C27" i="6"/>
  <c r="D22" i="6"/>
  <c r="D9" i="6"/>
  <c r="D13" i="6"/>
  <c r="C14" i="6"/>
  <c r="D8" i="6"/>
  <c r="B12" i="6"/>
  <c r="D18" i="6"/>
  <c r="B9" i="7"/>
  <c r="B12" i="7"/>
  <c r="B13" i="7"/>
  <c r="B16" i="6"/>
  <c r="B30" i="6"/>
  <c r="C12" i="7"/>
  <c r="C8" i="7"/>
  <c r="D4" i="6"/>
  <c r="C13" i="7"/>
  <c r="D16" i="6"/>
  <c r="B26" i="6"/>
  <c r="D31" i="6"/>
  <c r="B29" i="6"/>
  <c r="C11" i="7"/>
  <c r="C30" i="6"/>
  <c r="D14" i="6"/>
  <c r="D17" i="6"/>
  <c r="B7" i="7"/>
  <c r="C7" i="6"/>
  <c r="D6" i="6"/>
  <c r="C21" i="6"/>
  <c r="D19" i="6"/>
  <c r="B5" i="6"/>
  <c r="C9" i="6"/>
  <c r="B6" i="6"/>
  <c r="D30" i="6"/>
  <c r="D10" i="6"/>
  <c r="B13" i="6"/>
  <c r="C11" i="6"/>
  <c r="C16" i="6"/>
  <c r="B27" i="6"/>
  <c r="B18" i="6"/>
  <c r="C12" i="6"/>
  <c r="C19" i="6"/>
  <c r="C25" i="6"/>
  <c r="D28" i="6"/>
  <c r="C10" i="6"/>
  <c r="D26" i="6"/>
  <c r="D25" i="6"/>
  <c r="C31" i="6"/>
  <c r="C18" i="6"/>
  <c r="G26" i="8" l="1"/>
  <c r="G13" i="8"/>
  <c r="F7" i="7"/>
  <c r="F9" i="7"/>
  <c r="F8" i="7"/>
  <c r="F12" i="7"/>
  <c r="F10" i="7"/>
  <c r="F11" i="7"/>
  <c r="F13" i="7"/>
  <c r="F14" i="7"/>
  <c r="E7" i="7"/>
  <c r="G7" i="7"/>
  <c r="D9" i="7"/>
  <c r="G9" i="7"/>
  <c r="E9" i="7"/>
  <c r="G8" i="7"/>
  <c r="E8" i="7"/>
  <c r="D8" i="7"/>
  <c r="G12" i="7"/>
  <c r="E12" i="7"/>
  <c r="D12" i="7"/>
  <c r="G10" i="7"/>
  <c r="E10" i="7"/>
  <c r="D10" i="7"/>
  <c r="G11" i="7"/>
  <c r="E11" i="7"/>
  <c r="D11" i="7"/>
  <c r="D13" i="7"/>
  <c r="G13" i="7"/>
  <c r="E13" i="7"/>
  <c r="E14" i="7"/>
  <c r="D14" i="7"/>
  <c r="G14" i="7"/>
  <c r="D7" i="7"/>
  <c r="C15" i="7"/>
  <c r="C17" i="7" s="1"/>
  <c r="C6" i="1"/>
  <c r="D24" i="6"/>
  <c r="F15" i="7" l="1"/>
  <c r="F17" i="7" s="1"/>
  <c r="D15" i="7"/>
  <c r="D17" i="7" s="1"/>
  <c r="G15" i="7"/>
  <c r="G17" i="7" s="1"/>
  <c r="E15" i="7"/>
  <c r="E17" i="7" s="1"/>
  <c r="C18" i="7" l="1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<sst xmlns="http://schemas.openxmlformats.org/spreadsheetml/2006/main" count="131" uniqueCount="97">
  <si>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</si>
  <si>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</si>
  <si>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</si>
  <si>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</si>
  <si>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</si>
  <si>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</si>
  <si>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</si>
  <si>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</si>
  <si>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</si>
  <si>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</si>
  <si>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</si>
  <si>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</si>
  <si>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</si>
  <si>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</si>
  <si>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</si>
  <si>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</si>
  <si>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</si>
  <si>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</si>
  <si>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</si>
  <si>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</si>
  <si>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</si>
  <si>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</si>
  <si>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</si>
  <si>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</si>
  <si>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</si>
  <si>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</si>
  <si>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</si>
  <si>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</si>
  <si>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</si>
  <si>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</si>
  <si>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</si>
  <si>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</si>
  <si>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</si>
  <si>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</si>
  <si>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</si>
  <si>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</si>
  <si>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</si>
  <si>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</si>
  <si>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</si>
  <si>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</si>
  <si>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</si>
  <si>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</si>
  <si>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</si>
  <si>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</si>
  <si>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</si>
  <si>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</si>
  <si>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</si>
  <si>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</si>
  <si>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</si>
  <si>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</si>
  <si>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</si>
  <si>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</si>
  <si>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</si>
  <si>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</si>
  <si>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</si>
  <si>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</si>
  <si>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</si>
  <si>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</si>
  <si>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</si>
  <si>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</si>
  <si>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</si>
  <si>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</si>
  <si>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</si>
  <si>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</si>
  <si>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</si>
  <si>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</si>
  <si>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</si>
  <si>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</si>
  <si>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</si>
  <si>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</si>
  <si>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</si>
  <si>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</si>
  <si>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</si>
  <si>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</si>
  <si>
    <t>Cost per segments</t>
  </si>
  <si>
    <t>Account</t>
  </si>
  <si>
    <t>Lugano</t>
  </si>
  <si>
    <t>New York</t>
  </si>
  <si>
    <t>Hong Kong</t>
  </si>
  <si>
    <t>Sales </t>
  </si>
  <si>
    <t>Administration</t>
  </si>
  <si>
    <t>R&amp;D</t>
  </si>
  <si>
    <t>{}</t>
  </si>
  <si>
    <t>LU</t>
  </si>
  <si>
    <t>SA</t>
  </si>
  <si>
    <t>AD</t>
  </si>
  <si>
    <t>RD</t>
  </si>
  <si>
    <t>NY</t>
  </si>
  <si>
    <t>HK</t>
  </si>
  <si>
    <t>Not Assigned</t>
  </si>
  <si>
    <t>Revenues divided by segments</t>
  </si>
  <si>
    <t>Level 1</t>
  </si>
  <si>
    <t>Segments</t>
  </si>
  <si>
    <t>Segments Level 2</t>
  </si>
  <si>
    <t>Formula example: BAmount(file0;"Gr=3:LU:SA")</t>
  </si>
  <si>
    <t>Formula example: BAmount(file0;"Gr=4:LU:SA")</t>
  </si>
  <si>
    <t>{} Not assigned to check if all accounts have a segment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</si>
</sst>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[$-810]d\ mmmm\ yyyy;@"/>
  </numFmts>
  <fonts count="26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 wrapText="1"/>
    </xf>
    <xf numFmtId="164" fontId="8" fillId="0" borderId="0" xfId="1" applyFont="1"/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164" fontId="8" fillId="0" borderId="3" xfId="1" applyFont="1" applyBorder="1" applyAlignment="1"/>
    <xf numFmtId="164" fontId="18" fillId="0" borderId="0" xfId="1" applyFont="1" applyAlignment="1"/>
    <xf numFmtId="0" fontId="19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0" xfId="1" applyFont="1" applyBorder="1" applyAlignment="1"/>
    <xf numFmtId="164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164" fontId="18" fillId="0" borderId="0" xfId="1" applyFont="1" applyBorder="1" applyAlignment="1"/>
    <xf numFmtId="164" fontId="8" fillId="0" borderId="0" xfId="1" applyFont="1" applyBorder="1"/>
    <xf numFmtId="0" fontId="9" fillId="0" borderId="6" xfId="0" applyFont="1" applyBorder="1" applyAlignment="1">
      <alignment vertical="center" wrapText="1"/>
    </xf>
    <xf numFmtId="164" fontId="18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8" fillId="0" borderId="2" xfId="1" applyFont="1" applyBorder="1" applyAlignment="1"/>
    <xf numFmtId="164" fontId="18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164" fontId="18" fillId="0" borderId="3" xfId="1" applyFont="1" applyBorder="1" applyAlignment="1"/>
    <xf numFmtId="164" fontId="18" fillId="0" borderId="8" xfId="1" applyFont="1" applyBorder="1" applyAlignment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5" xfId="0" applyNumberFormat="1" applyBorder="1"/>
    <xf numFmtId="0" fontId="0" fillId="0" borderId="11" xfId="0" applyBorder="1"/>
    <xf numFmtId="164" fontId="8" fillId="0" borderId="12" xfId="1" applyFont="1" applyBorder="1" applyAlignment="1"/>
    <xf numFmtId="164" fontId="0" fillId="0" borderId="12" xfId="0" applyNumberFormat="1" applyBorder="1"/>
    <xf numFmtId="0" fontId="7" fillId="0" borderId="12" xfId="0" applyFont="1" applyBorder="1" applyAlignment="1">
      <alignment vertical="center" wrapText="1"/>
    </xf>
    <xf numFmtId="0" fontId="0" fillId="0" borderId="9" xfId="0" applyBorder="1"/>
    <xf numFmtId="9" fontId="0" fillId="0" borderId="9" xfId="0" applyNumberFormat="1" applyBorder="1"/>
    <xf numFmtId="0" fontId="11" fillId="0" borderId="11" xfId="0" applyFont="1" applyBorder="1"/>
    <xf numFmtId="0" fontId="21" fillId="0" borderId="9" xfId="0" applyFont="1" applyBorder="1" applyAlignment="1">
      <alignment vertical="center" wrapText="1"/>
    </xf>
    <xf numFmtId="164" fontId="11" fillId="0" borderId="9" xfId="1" applyFont="1" applyBorder="1" applyAlignment="1"/>
    <xf numFmtId="164" fontId="11" fillId="0" borderId="3" xfId="1" applyFont="1" applyBorder="1" applyAlignment="1"/>
    <xf numFmtId="166" fontId="0" fillId="0" borderId="0" xfId="0" applyNumberFormat="1"/>
    <xf numFmtId="9" fontId="0" fillId="2" borderId="9" xfId="0" applyNumberFormat="1" applyFill="1" applyBorder="1"/>
    <xf numFmtId="9" fontId="0" fillId="2" borderId="3" xfId="0" applyNumberFormat="1" applyFill="1" applyBorder="1"/>
    <xf numFmtId="9" fontId="22" fillId="2" borderId="9" xfId="0" applyNumberFormat="1" applyFont="1" applyFill="1" applyBorder="1"/>
    <xf numFmtId="164" fontId="0" fillId="0" borderId="0" xfId="0" applyNumberFormat="1" applyFill="1"/>
    <xf numFmtId="0" fontId="23" fillId="0" borderId="0" xfId="0" applyFont="1"/>
    <xf numFmtId="164" fontId="5" fillId="0" borderId="12" xfId="1" applyFont="1" applyBorder="1" applyAlignment="1"/>
    <xf numFmtId="164" fontId="5" fillId="2" borderId="12" xfId="1" applyFont="1" applyFill="1" applyBorder="1" applyAlignment="1"/>
    <xf numFmtId="164" fontId="5" fillId="2" borderId="5" xfId="1" applyFont="1" applyFill="1" applyBorder="1" applyAlignment="1"/>
    <xf numFmtId="0" fontId="24" fillId="0" borderId="12" xfId="0" applyFont="1" applyBorder="1" applyAlignment="1">
      <alignment vertical="center" wrapText="1"/>
    </xf>
    <xf numFmtId="0" fontId="0" fillId="0" borderId="13" xfId="0" applyBorder="1"/>
    <xf numFmtId="0" fontId="20" fillId="0" borderId="12" xfId="0" applyFont="1" applyBorder="1" applyAlignment="1">
      <alignment vertical="center" wrapText="1"/>
    </xf>
    <xf numFmtId="0" fontId="0" fillId="0" borderId="12" xfId="0" applyFont="1" applyBorder="1"/>
    <xf numFmtId="0" fontId="11" fillId="2" borderId="11" xfId="0" applyFont="1" applyFill="1" applyBorder="1"/>
    <xf numFmtId="0" fontId="11" fillId="2" borderId="10" xfId="0" applyFont="1" applyFill="1" applyBorder="1"/>
    <xf numFmtId="0" fontId="25" fillId="0" borderId="0" xfId="0" applyFont="1" applyAlignment="1">
      <alignment vertical="center"/>
    </xf>
    <xf numFmtId="164" fontId="0" fillId="0" borderId="9" xfId="1" applyFont="1" applyBorder="1"/>
    <xf numFmtId="0" fontId="24" fillId="0" borderId="9" xfId="0" applyFont="1" applyBorder="1" applyAlignment="1">
      <alignment vertical="center" wrapText="1"/>
    </xf>
    <xf numFmtId="164" fontId="11" fillId="0" borderId="9" xfId="1" applyFont="1" applyBorder="1"/>
    <xf numFmtId="0" fontId="11" fillId="0" borderId="9" xfId="0" applyFont="1" applyBorder="1"/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1457325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A50" sqref="A50"/>
    </sheetView>
  </sheetViews>
  <sheetFormatPr defaultColWidth="9.140625" defaultRowHeight="15"/>
  <cols>
    <col min="1" max="1" width="70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>
      <c r="A1" s="6"/>
    </row>
    <row r="2" spans="1:5">
      <c r="A2" s="19" t="s">
        <v>0</v>
      </c>
      <c r="B2" s="18" t="s">
        <v>19</v>
      </c>
    </row>
    <row r="3" spans="1:5">
      <c r="A3" s="19"/>
      <c r="B3" s="22" t="str">
        <f>BFunctionsVersion()</f>
        <v>2015-04-26</v>
      </c>
    </row>
    <row r="4" spans="1:5">
      <c r="A4" s="19"/>
    </row>
    <row r="5" spans="1:5">
      <c r="B5" s="24"/>
      <c r="E5" s="23"/>
    </row>
    <row r="6" spans="1:5">
      <c r="A6" s="18" t="s">
        <v>25</v>
      </c>
      <c r="B6" s="20" t="s">
        <v>2</v>
      </c>
      <c r="C6" t="str">
        <f>IF(B11="","Banana not open, file not open or WebServer not active","Banana Connection OK")</f>
        <v>Banana Connection OK</v>
      </c>
    </row>
    <row r="7" spans="1:5">
      <c r="A7" s="18" t="s">
        <v>27</v>
      </c>
      <c r="B7" s="20" t="s">
        <v>3</v>
      </c>
    </row>
    <row r="8" spans="1:5">
      <c r="A8" s="18" t="s">
        <v>28</v>
      </c>
      <c r="B8" s="20"/>
    </row>
    <row r="9" spans="1:5">
      <c r="B9" s="26"/>
    </row>
    <row r="10" spans="1:5">
      <c r="B10" s="26"/>
      <c r="C10" t="s">
        <v>30</v>
      </c>
    </row>
    <row r="11" spans="1:5">
      <c r="A11" s="18" t="s">
        <v>21</v>
      </c>
      <c r="B11" s="18" t="str">
        <f>BFileName( B6,DisableConnection)</f>
        <v>company-2015.ac2</v>
      </c>
      <c r="C11" t="s">
        <v>26</v>
      </c>
    </row>
    <row r="12" spans="1:5">
      <c r="A12" s="18" t="s">
        <v>22</v>
      </c>
      <c r="B12" s="18" t="str">
        <f>BFileName( B7,DisableConnection)</f>
        <v/>
      </c>
      <c r="C12" t="s">
        <v>54</v>
      </c>
    </row>
    <row r="13" spans="1:5">
      <c r="A13" s="18" t="s">
        <v>29</v>
      </c>
      <c r="B13" s="18" t="str">
        <f>BFileName( B8,DisableConnection)</f>
        <v/>
      </c>
    </row>
    <row r="14" spans="1:5">
      <c r="A14" s="18"/>
      <c r="B14" s="18"/>
    </row>
    <row r="15" spans="1:5">
      <c r="A15" s="18" t="s">
        <v>55</v>
      </c>
      <c r="B15" s="53"/>
      <c r="C15" t="s">
        <v>56</v>
      </c>
    </row>
    <row r="16" spans="1:5">
      <c r="C16" t="s">
        <v>57</v>
      </c>
      <c r="D16" s="5"/>
    </row>
    <row r="17" spans="1:6">
      <c r="B17" s="18"/>
      <c r="C17" s="22"/>
      <c r="E17" s="12"/>
      <c r="F17" s="12"/>
    </row>
    <row r="18" spans="1:6" s="7" customFormat="1">
      <c r="A18" s="10"/>
      <c r="B18" s="11"/>
      <c r="C18" s="11"/>
      <c r="D18" s="12"/>
      <c r="E18" s="12"/>
      <c r="F18" s="12"/>
    </row>
    <row r="19" spans="1:6" s="7" customFormat="1" ht="18">
      <c r="A19" s="29" t="s">
        <v>23</v>
      </c>
      <c r="B19" s="11"/>
      <c r="C19" s="11"/>
      <c r="D19" s="12"/>
      <c r="E19" s="12"/>
      <c r="F19" s="12"/>
    </row>
    <row r="20" spans="1:6" s="7" customFormat="1" ht="15.75">
      <c r="A20" s="27" t="s">
        <v>1</v>
      </c>
      <c r="B20" s="11"/>
      <c r="C20" s="11"/>
      <c r="D20" s="12"/>
      <c r="E20" s="12"/>
      <c r="F20" s="12"/>
    </row>
    <row r="21" spans="1:6" s="7" customFormat="1">
      <c r="A21" t="s">
        <v>24</v>
      </c>
      <c r="B21" s="11"/>
      <c r="C21" s="11"/>
      <c r="D21" s="12"/>
      <c r="E21" s="12"/>
      <c r="F21" s="12"/>
    </row>
    <row r="22" spans="1:6" s="7" customFormat="1">
      <c r="A22" t="s">
        <v>14</v>
      </c>
      <c r="B22" s="11"/>
      <c r="C22" s="11"/>
      <c r="D22" s="12"/>
      <c r="E22" s="12"/>
      <c r="F22" s="12"/>
    </row>
    <row r="23" spans="1:6" s="7" customFormat="1">
      <c r="A23" t="s">
        <v>16</v>
      </c>
      <c r="B23" s="11"/>
      <c r="C23" s="11"/>
      <c r="D23" s="12"/>
      <c r="E23" s="12"/>
      <c r="F23" s="12"/>
    </row>
    <row r="24" spans="1:6" s="7" customFormat="1">
      <c r="A24" s="26"/>
      <c r="B24" s="11"/>
      <c r="C24" s="11"/>
      <c r="D24" s="12"/>
      <c r="E24" s="12"/>
      <c r="F24" s="12"/>
    </row>
    <row r="25" spans="1:6" s="7" customFormat="1">
      <c r="A25"/>
      <c r="B25" s="13"/>
      <c r="C25" s="13"/>
      <c r="D25" s="12"/>
      <c r="E25" s="12"/>
      <c r="F25" s="12"/>
    </row>
    <row r="26" spans="1:6" s="7" customFormat="1" ht="18.75">
      <c r="A26" s="30" t="s">
        <v>15</v>
      </c>
      <c r="B26" s="11"/>
      <c r="C26" s="11"/>
      <c r="D26" s="12"/>
      <c r="E26" s="12"/>
      <c r="F26" s="12"/>
    </row>
    <row r="27" spans="1:6" s="7" customFormat="1">
      <c r="A27" s="31" t="s">
        <v>31</v>
      </c>
      <c r="B27" s="11"/>
      <c r="C27" s="11"/>
      <c r="D27" s="12"/>
      <c r="E27" s="12"/>
      <c r="F27" s="12"/>
    </row>
    <row r="28" spans="1:6" s="7" customFormat="1">
      <c r="A28" s="22" t="s">
        <v>4</v>
      </c>
      <c r="B28" s="11"/>
      <c r="C28" s="11"/>
      <c r="D28" s="12"/>
      <c r="E28" s="12"/>
      <c r="F28" s="12"/>
    </row>
    <row r="29" spans="1:6">
      <c r="A29" s="22" t="s">
        <v>5</v>
      </c>
      <c r="B29" s="13"/>
      <c r="C29" s="13"/>
      <c r="D29" s="14"/>
      <c r="E29" s="14"/>
      <c r="F29" s="14"/>
    </row>
    <row r="30" spans="1:6">
      <c r="A30" s="22" t="s">
        <v>6</v>
      </c>
      <c r="B30" s="11"/>
      <c r="C30" s="11"/>
      <c r="D30" s="14"/>
      <c r="E30" s="14"/>
      <c r="F30" s="14"/>
    </row>
    <row r="31" spans="1:6">
      <c r="A31" s="22" t="s">
        <v>7</v>
      </c>
      <c r="B31" s="11"/>
      <c r="C31" s="11"/>
      <c r="D31" s="14"/>
      <c r="E31" s="14"/>
      <c r="F31" s="14"/>
    </row>
    <row r="32" spans="1:6">
      <c r="A32" s="22" t="s">
        <v>4</v>
      </c>
      <c r="B32" s="11"/>
      <c r="C32" s="11"/>
      <c r="D32" s="14"/>
      <c r="E32" s="14"/>
      <c r="F32" s="14"/>
    </row>
    <row r="33" spans="1:6">
      <c r="A33" s="25" t="s">
        <v>8</v>
      </c>
      <c r="B33" s="13"/>
      <c r="C33" s="13"/>
      <c r="D33" s="14"/>
      <c r="E33" s="14"/>
      <c r="F33" s="14"/>
    </row>
    <row r="34" spans="1:6">
      <c r="A34" s="22" t="s">
        <v>4</v>
      </c>
      <c r="B34" s="11"/>
      <c r="C34" s="11"/>
      <c r="D34" s="12"/>
      <c r="E34" s="12"/>
      <c r="F34" s="12"/>
    </row>
    <row r="35" spans="1:6">
      <c r="A35" s="22" t="s">
        <v>9</v>
      </c>
      <c r="B35" s="11"/>
      <c r="C35" s="11"/>
      <c r="D35" s="12"/>
      <c r="E35" s="12"/>
      <c r="F35" s="12"/>
    </row>
    <row r="36" spans="1:6">
      <c r="A36" s="22" t="s">
        <v>10</v>
      </c>
      <c r="B36" s="11"/>
      <c r="C36" s="11"/>
      <c r="D36" s="12"/>
      <c r="E36" s="12"/>
      <c r="F36" s="12"/>
    </row>
    <row r="37" spans="1:6">
      <c r="A37" s="22" t="s">
        <v>11</v>
      </c>
      <c r="B37" s="17"/>
      <c r="C37" s="17"/>
      <c r="D37" s="9"/>
      <c r="E37" s="9"/>
      <c r="F37" s="9"/>
    </row>
    <row r="38" spans="1:6">
      <c r="A38" s="22" t="s">
        <v>12</v>
      </c>
      <c r="B38" s="11"/>
      <c r="C38" s="11"/>
      <c r="D38" s="12"/>
      <c r="E38" s="12"/>
      <c r="F38" s="12"/>
    </row>
    <row r="39" spans="1:6">
      <c r="A39" s="22" t="s">
        <v>13</v>
      </c>
      <c r="B39" s="11"/>
      <c r="C39" s="11"/>
      <c r="D39" s="12"/>
      <c r="E39" s="12"/>
      <c r="F39" s="12"/>
    </row>
    <row r="40" spans="1:6">
      <c r="A40" s="8"/>
      <c r="B40" s="17"/>
      <c r="C40" s="17"/>
      <c r="D40" s="9"/>
      <c r="E40" s="9"/>
      <c r="F40" s="9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1"/>
      <c r="C42" s="11"/>
      <c r="D42" s="12"/>
      <c r="E42" s="12"/>
      <c r="F42" s="12"/>
    </row>
    <row r="43" spans="1:6">
      <c r="A43" s="10"/>
      <c r="B43" s="13"/>
      <c r="C43" s="13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0"/>
      <c r="B45" s="11"/>
      <c r="C45" s="11"/>
      <c r="D45" s="12"/>
      <c r="E45" s="12"/>
      <c r="F45" s="12"/>
    </row>
    <row r="46" spans="1:6">
      <c r="A46" s="11"/>
      <c r="B46" s="13"/>
      <c r="C46" s="13"/>
      <c r="D46" s="9"/>
      <c r="E46" s="9"/>
      <c r="F46" s="9"/>
    </row>
    <row r="47" spans="1:6">
      <c r="A47" s="11"/>
      <c r="B47" s="8"/>
      <c r="C47" s="8"/>
      <c r="D47" s="9"/>
      <c r="E47" s="9"/>
      <c r="F47" s="9"/>
    </row>
    <row r="48" spans="1:6">
      <c r="A48" s="13"/>
      <c r="B48" s="8"/>
      <c r="C48" s="8"/>
      <c r="D48" s="9"/>
      <c r="E48" s="9"/>
      <c r="F48" s="9"/>
    </row>
    <row r="49" spans="1:6">
      <c r="A49" s="8"/>
      <c r="B49" s="15"/>
      <c r="C49" s="15"/>
      <c r="D49" s="9"/>
      <c r="E49" s="9"/>
      <c r="F49" s="9"/>
    </row>
    <row r="50" spans="1:6">
      <c r="A50" s="16" t="s">
        <v>70</v>
      </c>
      <c r="B50" s="9"/>
      <c r="C50" s="9"/>
      <c r="D50" s="9"/>
      <c r="E50" s="9"/>
      <c r="F50" s="9"/>
    </row>
    <row r="51" spans="1:6">
      <c r="A51" s="1"/>
    </row>
    <row r="52" spans="1:6">
      <c r="A52" s="1"/>
      <c r="B52" s="13"/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C58" s="1"/>
    </row>
    <row r="59" spans="1:6">
      <c r="A59" s="1"/>
      <c r="B59" s="1"/>
      <c r="C59" s="1"/>
    </row>
    <row r="60" spans="1:6">
      <c r="A60" s="2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1"/>
      <c r="B63" s="1"/>
      <c r="C63" s="1"/>
    </row>
    <row r="64" spans="1:6">
      <c r="A64" s="2"/>
      <c r="B64" s="1"/>
      <c r="C64" s="1"/>
    </row>
    <row r="65" spans="1:3">
      <c r="A65" s="3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3"/>
      <c r="B69" s="1"/>
      <c r="C69" s="1"/>
    </row>
    <row r="70" spans="1:3">
      <c r="A70" s="1"/>
      <c r="B70" s="1"/>
      <c r="C70" s="1"/>
    </row>
    <row r="71" spans="1:3">
      <c r="A71" s="1"/>
      <c r="B71" s="1"/>
      <c r="C71" s="1"/>
    </row>
    <row r="72" spans="1:3">
      <c r="A72" s="3"/>
      <c r="B72" s="1"/>
      <c r="C72" s="1"/>
    </row>
    <row r="73" spans="1:3">
      <c r="A73" s="4"/>
      <c r="B73" s="1"/>
      <c r="C73" s="1"/>
    </row>
    <row r="74" spans="1:3">
      <c r="A74" s="1"/>
      <c r="B74" s="1"/>
      <c r="C74" s="1"/>
    </row>
    <row r="75" spans="1:3">
      <c r="A75" s="1"/>
      <c r="B75" s="1"/>
      <c r="C75" s="1"/>
    </row>
    <row r="76" spans="1:3">
      <c r="A76" s="2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4"/>
      <c r="B81" s="1"/>
      <c r="C81" s="1"/>
    </row>
    <row r="82" spans="1:3">
      <c r="A82" s="2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1457325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C21" sqref="C21"/>
    </sheetView>
  </sheetViews>
  <sheetFormatPr defaultColWidth="9.140625" defaultRowHeight="15"/>
  <cols>
    <col min="1" max="1" width="12" customWidth="1"/>
    <col min="2" max="2" width="42.140625" customWidth="1"/>
    <col min="3" max="3" width="17" customWidth="1"/>
    <col min="4" max="4" width="13.5703125" customWidth="1"/>
  </cols>
  <sheetData>
    <row r="2" spans="1:4" ht="18">
      <c r="B2" s="34" t="str">
        <f ca="1">BInfo( File0,"Base","HeaderLeft")</f>
        <v>Sibex Ltd</v>
      </c>
      <c r="C2" s="28"/>
    </row>
    <row r="3" spans="1:4" ht="18">
      <c r="B3" s="34"/>
      <c r="C3" s="28"/>
    </row>
    <row r="4" spans="1:4">
      <c r="B4" s="43" t="s">
        <v>33</v>
      </c>
      <c r="C4" s="44">
        <f ca="1">BDate(BInfo( File0,"AccountingDataBase","ClosureDate"))</f>
        <v>42369</v>
      </c>
      <c r="D4" s="45">
        <f ca="1">BDate(BInfo( File1,"AccountingDataBase","ClosureDate"))</f>
        <v>0</v>
      </c>
    </row>
    <row r="5" spans="1:4">
      <c r="A5" s="10" t="s">
        <v>32</v>
      </c>
      <c r="B5" s="35" t="str">
        <f t="shared" ref="B5:B14" ca="1" si="0">BAccountDescription(File0,A5)</f>
        <v>Cash</v>
      </c>
      <c r="C5" s="36">
        <f ca="1">BAmount(File0,$A5)</f>
        <v>17758.18</v>
      </c>
      <c r="D5" s="37">
        <f t="shared" ref="D5:D19" ca="1" si="1">BAmount(File1,$A5)</f>
        <v>0</v>
      </c>
    </row>
    <row r="6" spans="1:4">
      <c r="A6" s="10" t="s">
        <v>34</v>
      </c>
      <c r="B6" s="35" t="str">
        <f t="shared" ca="1" si="0"/>
        <v>Accounts Receivable</v>
      </c>
      <c r="C6" s="36">
        <f ca="1">BAmount(File0,$A6)</f>
        <v>10000</v>
      </c>
      <c r="D6" s="37">
        <f t="shared" ca="1" si="1"/>
        <v>0</v>
      </c>
    </row>
    <row r="7" spans="1:4" s="7" customFormat="1">
      <c r="A7" s="10" t="s">
        <v>35</v>
      </c>
      <c r="B7" s="35" t="str">
        <f t="shared" ca="1" si="0"/>
        <v>Inventory</v>
      </c>
      <c r="C7" s="36">
        <f t="shared" ref="C7:C14" ca="1" si="2">BAmount(File0,$A7)</f>
        <v>7000</v>
      </c>
      <c r="D7" s="37">
        <f t="shared" ca="1" si="1"/>
        <v>0</v>
      </c>
    </row>
    <row r="8" spans="1:4" s="7" customFormat="1">
      <c r="A8" s="10" t="s">
        <v>36</v>
      </c>
      <c r="B8" s="35" t="str">
        <f t="shared" ca="1" si="0"/>
        <v>Prepaid Expenses</v>
      </c>
      <c r="C8" s="36">
        <f ca="1">BAmount(File0,$A8)</f>
        <v>0</v>
      </c>
      <c r="D8" s="37">
        <f t="shared" ca="1" si="1"/>
        <v>0</v>
      </c>
    </row>
    <row r="9" spans="1:4" s="7" customFormat="1">
      <c r="A9" s="10" t="s">
        <v>37</v>
      </c>
      <c r="B9" s="38" t="str">
        <f t="shared" ca="1" si="0"/>
        <v>Current Assets</v>
      </c>
      <c r="C9" s="39">
        <f ca="1">BAmount(File0,$A9)</f>
        <v>34758.18</v>
      </c>
      <c r="D9" s="37">
        <f t="shared" ca="1" si="1"/>
        <v>0</v>
      </c>
    </row>
    <row r="10" spans="1:4" s="7" customFormat="1">
      <c r="A10" s="10" t="s">
        <v>38</v>
      </c>
      <c r="B10" s="35" t="str">
        <f t="shared" ca="1" si="0"/>
        <v>Equipment</v>
      </c>
      <c r="C10" s="36">
        <f t="shared" ca="1" si="2"/>
        <v>35000</v>
      </c>
      <c r="D10" s="37">
        <f t="shared" ca="1" si="1"/>
        <v>0</v>
      </c>
    </row>
    <row r="11" spans="1:4" s="7" customFormat="1">
      <c r="A11" s="10" t="s">
        <v>39</v>
      </c>
      <c r="B11" s="35" t="str">
        <f t="shared" ca="1" si="0"/>
        <v>Real Estate</v>
      </c>
      <c r="C11" s="36">
        <f t="shared" ca="1" si="2"/>
        <v>100000</v>
      </c>
      <c r="D11" s="37">
        <f t="shared" ca="1" si="1"/>
        <v>0</v>
      </c>
    </row>
    <row r="12" spans="1:4" s="7" customFormat="1">
      <c r="A12" s="10" t="s">
        <v>38</v>
      </c>
      <c r="B12" s="35" t="str">
        <f t="shared" ca="1" si="0"/>
        <v>Equipment</v>
      </c>
      <c r="C12" s="36">
        <f t="shared" ca="1" si="2"/>
        <v>35000</v>
      </c>
      <c r="D12" s="37">
        <f t="shared" ca="1" si="1"/>
        <v>0</v>
      </c>
    </row>
    <row r="13" spans="1:4" s="7" customFormat="1">
      <c r="A13" s="10" t="s">
        <v>41</v>
      </c>
      <c r="B13" s="38" t="str">
        <f t="shared" ca="1" si="0"/>
        <v>Fixed Assets</v>
      </c>
      <c r="C13" s="39">
        <f t="shared" ca="1" si="2"/>
        <v>135000</v>
      </c>
      <c r="D13" s="37">
        <f t="shared" ca="1" si="1"/>
        <v>0</v>
      </c>
    </row>
    <row r="14" spans="1:4" s="7" customFormat="1">
      <c r="A14" s="10" t="s">
        <v>40</v>
      </c>
      <c r="B14" s="46" t="str">
        <f t="shared" ca="1" si="0"/>
        <v>Total ASSETS</v>
      </c>
      <c r="C14" s="47">
        <f t="shared" ca="1" si="2"/>
        <v>169758.18</v>
      </c>
      <c r="D14" s="32">
        <f t="shared" ca="1" si="1"/>
        <v>0</v>
      </c>
    </row>
    <row r="15" spans="1:4">
      <c r="A15" s="11"/>
      <c r="B15" s="38"/>
      <c r="C15" s="40"/>
      <c r="D15" s="37">
        <f t="shared" ca="1" si="1"/>
        <v>0</v>
      </c>
    </row>
    <row r="16" spans="1:4">
      <c r="A16" s="11" t="s">
        <v>42</v>
      </c>
      <c r="B16" s="35" t="str">
        <f ca="1">BAccountDescription(File0,A16)</f>
        <v>Current Liabilities</v>
      </c>
      <c r="C16" s="40">
        <f ca="1">BAmount(File0,$A16)</f>
        <v>126.37</v>
      </c>
      <c r="D16" s="37">
        <f t="shared" ca="1" si="1"/>
        <v>0</v>
      </c>
    </row>
    <row r="17" spans="1:4">
      <c r="A17" s="10" t="s">
        <v>43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t="shared" ca="1" si="1"/>
        <v>0</v>
      </c>
    </row>
    <row r="18" spans="1:4">
      <c r="A18" s="10" t="s">
        <v>44</v>
      </c>
      <c r="B18" s="35" t="str">
        <f ca="1">BAccountDescription(File0,A18)</f>
        <v>Shareholders' Equity</v>
      </c>
      <c r="C18" s="36">
        <f ca="1">BAmount(File0,$A18)</f>
        <v>89631.81</v>
      </c>
      <c r="D18" s="37">
        <f t="shared" ca="1" si="1"/>
        <v>0</v>
      </c>
    </row>
    <row r="19" spans="1:4">
      <c r="A19" s="10" t="s">
        <v>45</v>
      </c>
      <c r="B19" s="46" t="str">
        <f ca="1">BAccountDescription(File0,A19)</f>
        <v>Total LIABILITIES</v>
      </c>
      <c r="C19" s="47">
        <f ca="1">BAmount(File0,$A19)</f>
        <v>169758.18</v>
      </c>
      <c r="D19" s="32">
        <f t="shared" ca="1" si="1"/>
        <v>0</v>
      </c>
    </row>
    <row r="20" spans="1:4">
      <c r="A20" s="10"/>
      <c r="B20" s="11"/>
      <c r="C20" s="12"/>
    </row>
    <row r="21" spans="1:4">
      <c r="A21" s="8"/>
      <c r="B21" s="50" t="s">
        <v>46</v>
      </c>
      <c r="C21" s="44">
        <f ca="1">BDate(BInfo( File0,"AccountingDataBase","ClosureDate"))</f>
        <v>42369</v>
      </c>
      <c r="D21" s="45">
        <f ca="1">BDate(BInfo( File1,"AccountingDataBase","ClosureDate"))</f>
        <v>0</v>
      </c>
    </row>
    <row r="22" spans="1:4">
      <c r="A22" s="11" t="s">
        <v>18</v>
      </c>
      <c r="B22" s="46" t="str">
        <f ca="1">BAccountDescription(File0,A22)</f>
        <v>Total INCOME</v>
      </c>
      <c r="C22" s="47">
        <f ca="1">BAmount(File0,$A22)</f>
        <v>8454.5400000000009</v>
      </c>
      <c r="D22" s="51">
        <f ca="1">BAmount(File1,$A22)</f>
        <v>0</v>
      </c>
    </row>
    <row r="23" spans="1:4">
      <c r="A23" s="10"/>
      <c r="B23" s="35"/>
      <c r="C23" s="36"/>
      <c r="D23" s="49"/>
    </row>
    <row r="24" spans="1:4">
      <c r="A24" s="11" t="s">
        <v>47</v>
      </c>
      <c r="B24" s="46" t="str">
        <f t="shared" ref="B24:B32" ca="1" si="3">BAccountDescription(File0,A24)</f>
        <v>Cost Of Revenue</v>
      </c>
      <c r="C24" s="47">
        <f t="shared" ref="C24:C32" ca="1" si="4">BAmount(File0,$A24)</f>
        <v>4818.18</v>
      </c>
      <c r="D24" s="51">
        <f t="shared" ref="D24:D32" ca="1" si="5">BAmount(File1,$A24)</f>
        <v>0</v>
      </c>
    </row>
    <row r="25" spans="1:4">
      <c r="A25" s="11" t="s">
        <v>48</v>
      </c>
      <c r="B25" s="35" t="str">
        <f t="shared" ca="1" si="3"/>
        <v>Salary</v>
      </c>
      <c r="C25" s="36">
        <f t="shared" ca="1" si="4"/>
        <v>0</v>
      </c>
      <c r="D25" s="37">
        <f t="shared" ca="1" si="5"/>
        <v>0</v>
      </c>
    </row>
    <row r="26" spans="1:4">
      <c r="A26" s="11" t="s">
        <v>49</v>
      </c>
      <c r="B26" s="35" t="str">
        <f t="shared" ca="1" si="3"/>
        <v>General And Administrative</v>
      </c>
      <c r="C26" s="36">
        <f t="shared" ca="1" si="4"/>
        <v>3522.73</v>
      </c>
      <c r="D26" s="37">
        <f t="shared" ca="1" si="5"/>
        <v>0</v>
      </c>
    </row>
    <row r="27" spans="1:4">
      <c r="A27" s="11" t="s">
        <v>50</v>
      </c>
      <c r="B27" s="35" t="str">
        <f t="shared" ca="1" si="3"/>
        <v>Financial expenses</v>
      </c>
      <c r="C27" s="36">
        <f t="shared" ca="1" si="4"/>
        <v>0</v>
      </c>
      <c r="D27" s="37">
        <f t="shared" ca="1" si="5"/>
        <v>0</v>
      </c>
    </row>
    <row r="28" spans="1:4">
      <c r="A28" s="11" t="s">
        <v>51</v>
      </c>
      <c r="B28" s="46" t="str">
        <f t="shared" ca="1" si="3"/>
        <v>Operating Expenses</v>
      </c>
      <c r="C28" s="47">
        <f t="shared" ca="1" si="4"/>
        <v>3522.73</v>
      </c>
      <c r="D28" s="51">
        <f t="shared" ca="1" si="5"/>
        <v>0</v>
      </c>
    </row>
    <row r="29" spans="1:4">
      <c r="A29" s="11" t="s">
        <v>52</v>
      </c>
      <c r="B29" s="38" t="str">
        <f t="shared" ca="1" si="3"/>
        <v>Amortisation</v>
      </c>
      <c r="C29" s="39">
        <f t="shared" ca="1" si="4"/>
        <v>0</v>
      </c>
      <c r="D29" s="48">
        <f t="shared" ca="1" si="5"/>
        <v>0</v>
      </c>
    </row>
    <row r="30" spans="1:4">
      <c r="A30" s="11" t="s">
        <v>53</v>
      </c>
      <c r="B30" s="38" t="str">
        <f t="shared" ca="1" si="3"/>
        <v>Taxes</v>
      </c>
      <c r="C30" s="39">
        <f t="shared" ca="1" si="4"/>
        <v>0</v>
      </c>
      <c r="D30" s="48">
        <f t="shared" ca="1" si="5"/>
        <v>0</v>
      </c>
    </row>
    <row r="31" spans="1:4">
      <c r="A31" s="11" t="s">
        <v>17</v>
      </c>
      <c r="B31" s="46" t="str">
        <f t="shared" ca="1" si="3"/>
        <v>Total EXPENSES</v>
      </c>
      <c r="C31" s="47">
        <f t="shared" ca="1" si="4"/>
        <v>8340.91</v>
      </c>
      <c r="D31" s="51">
        <f t="shared" ca="1" si="5"/>
        <v>0</v>
      </c>
    </row>
    <row r="32" spans="1:4">
      <c r="A32" s="11" t="s">
        <v>20</v>
      </c>
      <c r="B32" s="41" t="str">
        <f t="shared" ca="1" si="3"/>
        <v>Profit(-) Loss(+) from Profit &amp; Loss Statement</v>
      </c>
      <c r="C32" s="42">
        <f t="shared" ca="1" si="4"/>
        <v>113.63</v>
      </c>
      <c r="D32" s="52">
        <f t="shared" ca="1" si="5"/>
        <v>0</v>
      </c>
    </row>
    <row r="33" spans="1:4">
      <c r="A33" s="10"/>
      <c r="B33" s="13"/>
      <c r="C33" s="33"/>
      <c r="D33" s="18"/>
    </row>
    <row r="34" spans="1:4">
      <c r="A34" s="10"/>
      <c r="B34" s="13"/>
      <c r="C34" s="12"/>
    </row>
    <row r="35" spans="1:4">
      <c r="A35" s="10"/>
      <c r="B35" s="11"/>
      <c r="C35" s="12"/>
    </row>
    <row r="36" spans="1:4">
      <c r="A36" s="10"/>
      <c r="B36" s="11"/>
      <c r="C36" s="12"/>
    </row>
    <row r="37" spans="1:4">
      <c r="A37" s="10"/>
      <c r="B37" s="11"/>
      <c r="C37" s="12"/>
    </row>
    <row r="38" spans="1:4">
      <c r="A38" s="11"/>
      <c r="B38" s="13"/>
      <c r="C38" s="9"/>
    </row>
    <row r="39" spans="1:4">
      <c r="A39" s="11"/>
      <c r="B39" s="8"/>
      <c r="C39" s="9"/>
    </row>
    <row r="40" spans="1:4">
      <c r="A40" s="13"/>
      <c r="B40" s="8"/>
      <c r="C40" s="9"/>
    </row>
    <row r="41" spans="1:4">
      <c r="A41" s="8"/>
      <c r="B41" s="15"/>
      <c r="C41" s="9"/>
    </row>
    <row r="42" spans="1:4">
      <c r="A42" s="16"/>
      <c r="B42" s="9"/>
      <c r="C42" s="9"/>
    </row>
    <row r="43" spans="1:4">
      <c r="A43" s="1"/>
    </row>
    <row r="44" spans="1:4">
      <c r="A44" s="1"/>
      <c r="B44" s="13"/>
    </row>
    <row r="45" spans="1:4">
      <c r="A45" s="18"/>
    </row>
    <row r="46" spans="1:4">
      <c r="A46" s="18"/>
    </row>
    <row r="47" spans="1:4">
      <c r="A47" s="22"/>
    </row>
    <row r="48" spans="1:4">
      <c r="A48" s="21"/>
    </row>
    <row r="49" spans="1:2">
      <c r="A49" s="21"/>
    </row>
    <row r="50" spans="1:2">
      <c r="A50" s="21"/>
    </row>
    <row r="51" spans="1:2">
      <c r="A51" s="21"/>
    </row>
    <row r="52" spans="1:2">
      <c r="A52" s="21"/>
    </row>
    <row r="53" spans="1:2">
      <c r="A53" s="21"/>
    </row>
    <row r="54" spans="1:2">
      <c r="A54" s="21"/>
    </row>
    <row r="55" spans="1:2">
      <c r="A55" s="21"/>
    </row>
    <row r="56" spans="1:2">
      <c r="A56" s="21"/>
    </row>
    <row r="57" spans="1:2">
      <c r="A57" s="21"/>
    </row>
    <row r="58" spans="1:2">
      <c r="A58" s="2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3"/>
      <c r="B62" s="1"/>
    </row>
    <row r="63" spans="1:2">
      <c r="A63" s="1"/>
      <c r="B63" s="1"/>
    </row>
    <row r="64" spans="1:2">
      <c r="A64" s="1"/>
      <c r="B64" s="1"/>
    </row>
    <row r="65" spans="1:2">
      <c r="A65" s="3"/>
      <c r="B65" s="1"/>
    </row>
    <row r="66" spans="1:2">
      <c r="A66" s="4"/>
      <c r="B66" s="1"/>
    </row>
    <row r="67" spans="1:2">
      <c r="A67" s="1"/>
      <c r="B67" s="1"/>
    </row>
    <row r="68" spans="1:2">
      <c r="A68" s="1"/>
      <c r="B68" s="1"/>
    </row>
    <row r="69" spans="1:2">
      <c r="A69" s="2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4"/>
      <c r="B74" s="1"/>
    </row>
    <row r="75" spans="1:2">
      <c r="A75" s="2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I21"/>
  <sheetViews>
    <sheetView workbookViewId="0">
      <selection sqref="A1:B4"/>
    </sheetView>
  </sheetViews>
  <sheetFormatPr defaultRowHeight="15"/>
  <cols>
    <col min="1" max="1" width="13.28515625" customWidth="1"/>
    <col min="2" max="2" width="27.42578125" customWidth="1"/>
    <col min="3" max="3" width="11.140625" customWidth="1"/>
    <col min="4" max="4" width="10.42578125" customWidth="1"/>
    <col min="5" max="5" width="10" customWidth="1"/>
    <col min="7" max="7" width="10.85546875" customWidth="1"/>
  </cols>
  <sheetData>
    <row r="1" spans="1:9" ht="15.75">
      <c r="A1" s="71" t="str">
        <f ca="1">BInfo( File0,"Base","HeaderLeft")</f>
        <v>Sibex Ltd</v>
      </c>
    </row>
    <row r="2" spans="1:9" ht="15.75">
      <c r="A2" s="27" t="s">
        <v>69</v>
      </c>
    </row>
    <row r="3" spans="1:9">
      <c r="A3" t="s">
        <v>65</v>
      </c>
      <c r="B3" s="66">
        <f>BStartPeriod(File0)</f>
        <v>42005</v>
      </c>
    </row>
    <row r="4" spans="1:9">
      <c r="A4" t="s">
        <v>64</v>
      </c>
      <c r="B4" s="66">
        <f>BEndPeriod(File0)</f>
        <v>42369</v>
      </c>
    </row>
    <row r="5" spans="1:9">
      <c r="A5" s="56" t="s">
        <v>58</v>
      </c>
      <c r="B5" s="56"/>
      <c r="C5" s="62" t="s">
        <v>59</v>
      </c>
      <c r="D5" s="79" t="s">
        <v>60</v>
      </c>
      <c r="E5" s="79" t="s">
        <v>61</v>
      </c>
      <c r="F5" s="80" t="s">
        <v>66</v>
      </c>
      <c r="G5" s="80" t="s">
        <v>62</v>
      </c>
    </row>
    <row r="6" spans="1:9">
      <c r="A6" s="76"/>
      <c r="B6" s="60" t="s">
        <v>63</v>
      </c>
      <c r="C6" s="61">
        <f>SUM(D6:G6)</f>
        <v>1</v>
      </c>
      <c r="D6" s="67">
        <v>0.2</v>
      </c>
      <c r="E6" s="67">
        <v>0.5</v>
      </c>
      <c r="F6" s="69"/>
      <c r="G6" s="68">
        <v>0.3</v>
      </c>
      <c r="I6" s="81"/>
    </row>
    <row r="7" spans="1:9">
      <c r="A7" s="77">
        <v>3220</v>
      </c>
      <c r="B7" s="59" t="str">
        <f t="shared" ref="B7:B9" ca="1" si="0">BAccountDescription(File0,A7)</f>
        <v>Car expenses</v>
      </c>
      <c r="C7" s="57">
        <f ca="1">BAmount(File0,$A7)</f>
        <v>0</v>
      </c>
      <c r="D7" s="58">
        <f ca="1">$C7*D$6</f>
        <v>0</v>
      </c>
      <c r="E7" s="58">
        <f t="shared" ref="E7:G14" ca="1" si="1">$C7*E$6</f>
        <v>0</v>
      </c>
      <c r="F7" s="58">
        <f t="shared" ca="1" si="1"/>
        <v>0</v>
      </c>
      <c r="G7" s="55">
        <f t="shared" ca="1" si="1"/>
        <v>0</v>
      </c>
    </row>
    <row r="8" spans="1:9">
      <c r="A8" s="77">
        <v>3230</v>
      </c>
      <c r="B8" s="59" t="str">
        <f t="shared" ca="1" si="0"/>
        <v>Other insurances</v>
      </c>
      <c r="C8" s="57">
        <f t="shared" ref="C8:C14" ca="1" si="2">BAmount(File0,$A8)</f>
        <v>0</v>
      </c>
      <c r="D8" s="58">
        <f t="shared" ref="D8:D14" ca="1" si="3">$C8*D$6</f>
        <v>0</v>
      </c>
      <c r="E8" s="58">
        <f t="shared" ca="1" si="1"/>
        <v>0</v>
      </c>
      <c r="F8" s="58">
        <f t="shared" ca="1" si="1"/>
        <v>0</v>
      </c>
      <c r="G8" s="55">
        <f t="shared" ca="1" si="1"/>
        <v>0</v>
      </c>
    </row>
    <row r="9" spans="1:9">
      <c r="A9" s="77">
        <v>3240</v>
      </c>
      <c r="B9" s="59" t="str">
        <f t="shared" ca="1" si="0"/>
        <v>Fees</v>
      </c>
      <c r="C9" s="57">
        <f t="shared" ca="1" si="2"/>
        <v>0</v>
      </c>
      <c r="D9" s="58">
        <f t="shared" ca="1" si="3"/>
        <v>0</v>
      </c>
      <c r="E9" s="58">
        <f t="shared" ca="1" si="1"/>
        <v>0</v>
      </c>
      <c r="F9" s="58">
        <f t="shared" ca="1" si="1"/>
        <v>0</v>
      </c>
      <c r="G9" s="55">
        <f t="shared" ca="1" si="1"/>
        <v>0</v>
      </c>
    </row>
    <row r="10" spans="1:9">
      <c r="A10" s="77">
        <v>3250</v>
      </c>
      <c r="B10" s="59" t="str">
        <f t="shared" ref="B10:B14" ca="1" si="4">BAccountDescription(File0,A10)</f>
        <v>Electricity</v>
      </c>
      <c r="C10" s="57">
        <f t="shared" ca="1" si="2"/>
        <v>0</v>
      </c>
      <c r="D10" s="58">
        <f t="shared" ca="1" si="3"/>
        <v>0</v>
      </c>
      <c r="E10" s="58">
        <f t="shared" ca="1" si="1"/>
        <v>0</v>
      </c>
      <c r="F10" s="58">
        <f t="shared" ca="1" si="1"/>
        <v>0</v>
      </c>
      <c r="G10" s="55">
        <f t="shared" ca="1" si="1"/>
        <v>0</v>
      </c>
    </row>
    <row r="11" spans="1:9">
      <c r="A11" s="77">
        <v>3260</v>
      </c>
      <c r="B11" s="59" t="str">
        <f t="shared" ca="1" si="4"/>
        <v>Office supplies</v>
      </c>
      <c r="C11" s="57">
        <f t="shared" ca="1" si="2"/>
        <v>27.27</v>
      </c>
      <c r="D11" s="58">
        <f t="shared" ca="1" si="3"/>
        <v>5.4540000000000006</v>
      </c>
      <c r="E11" s="58">
        <f t="shared" ca="1" si="1"/>
        <v>13.635</v>
      </c>
      <c r="F11" s="58">
        <f t="shared" ca="1" si="1"/>
        <v>0</v>
      </c>
      <c r="G11" s="55">
        <f t="shared" ca="1" si="1"/>
        <v>8.1809999999999992</v>
      </c>
    </row>
    <row r="12" spans="1:9">
      <c r="A12" s="77">
        <v>3270</v>
      </c>
      <c r="B12" s="59" t="str">
        <f t="shared" ca="1" si="4"/>
        <v>Telephone, Fax</v>
      </c>
      <c r="C12" s="57">
        <f t="shared" ca="1" si="2"/>
        <v>345.46</v>
      </c>
      <c r="D12" s="58">
        <f t="shared" ca="1" si="3"/>
        <v>69.091999999999999</v>
      </c>
      <c r="E12" s="58">
        <f t="shared" ca="1" si="1"/>
        <v>172.73</v>
      </c>
      <c r="F12" s="58">
        <f t="shared" ca="1" si="1"/>
        <v>0</v>
      </c>
      <c r="G12" s="55">
        <f t="shared" ca="1" si="1"/>
        <v>103.63799999999999</v>
      </c>
    </row>
    <row r="13" spans="1:9">
      <c r="A13" s="77">
        <v>3280</v>
      </c>
      <c r="B13" s="59" t="str">
        <f t="shared" ca="1" si="4"/>
        <v>Mailing fees</v>
      </c>
      <c r="C13" s="57">
        <f t="shared" ca="1" si="2"/>
        <v>0</v>
      </c>
      <c r="D13" s="58">
        <f t="shared" ca="1" si="3"/>
        <v>0</v>
      </c>
      <c r="E13" s="58">
        <f t="shared" ca="1" si="1"/>
        <v>0</v>
      </c>
      <c r="F13" s="58">
        <f t="shared" ca="1" si="1"/>
        <v>0</v>
      </c>
      <c r="G13" s="55">
        <f t="shared" ca="1" si="1"/>
        <v>0</v>
      </c>
    </row>
    <row r="14" spans="1:9">
      <c r="A14" s="77">
        <v>3290</v>
      </c>
      <c r="B14" s="59" t="str">
        <f t="shared" ca="1" si="4"/>
        <v>Advertising</v>
      </c>
      <c r="C14" s="57">
        <f t="shared" ca="1" si="2"/>
        <v>0</v>
      </c>
      <c r="D14" s="58">
        <f t="shared" ca="1" si="3"/>
        <v>0</v>
      </c>
      <c r="E14" s="58">
        <f t="shared" ca="1" si="1"/>
        <v>0</v>
      </c>
      <c r="F14" s="58">
        <f t="shared" ca="1" si="1"/>
        <v>0</v>
      </c>
      <c r="G14" s="55">
        <f t="shared" ca="1" si="1"/>
        <v>0</v>
      </c>
    </row>
    <row r="15" spans="1:9">
      <c r="A15" s="60"/>
      <c r="B15" s="63" t="s">
        <v>59</v>
      </c>
      <c r="C15" s="64">
        <f ca="1">SUM(C7:C14)</f>
        <v>372.72999999999996</v>
      </c>
      <c r="D15" s="64">
        <f ca="1">SUM(D7:D14)</f>
        <v>74.545999999999992</v>
      </c>
      <c r="E15" s="64">
        <f t="shared" ref="E15:G15" ca="1" si="5">SUM(E7:E14)</f>
        <v>186.36499999999998</v>
      </c>
      <c r="F15" s="64">
        <f t="shared" ca="1" si="5"/>
        <v>0</v>
      </c>
      <c r="G15" s="65">
        <f t="shared" ca="1" si="5"/>
        <v>111.81899999999999</v>
      </c>
      <c r="H15" s="54"/>
    </row>
    <row r="16" spans="1:9">
      <c r="A16" s="78"/>
      <c r="B16" s="75" t="s">
        <v>71</v>
      </c>
      <c r="C16" s="72">
        <f>SUM(D16:G16)</f>
        <v>300</v>
      </c>
      <c r="D16" s="73">
        <v>100</v>
      </c>
      <c r="E16" s="73">
        <v>100</v>
      </c>
      <c r="F16" s="73"/>
      <c r="G16" s="74">
        <v>100</v>
      </c>
      <c r="H16" s="54"/>
    </row>
    <row r="17" spans="1:8">
      <c r="A17" s="60"/>
      <c r="B17" s="63" t="s">
        <v>72</v>
      </c>
      <c r="C17" s="64">
        <f ca="1">C15-C16</f>
        <v>72.729999999999961</v>
      </c>
      <c r="D17" s="64">
        <f t="shared" ref="D17:G17" ca="1" si="6">D15-D16</f>
        <v>-25.454000000000008</v>
      </c>
      <c r="E17" s="64">
        <f t="shared" ca="1" si="6"/>
        <v>86.364999999999981</v>
      </c>
      <c r="F17" s="64">
        <f t="shared" ca="1" si="6"/>
        <v>0</v>
      </c>
      <c r="G17" s="64">
        <f t="shared" ca="1" si="6"/>
        <v>11.818999999999988</v>
      </c>
      <c r="H17" s="54"/>
    </row>
    <row r="18" spans="1:8">
      <c r="A18" t="s">
        <v>67</v>
      </c>
      <c r="C18" s="70">
        <f ca="1">C15-SUM(D15:G15)</f>
        <v>0</v>
      </c>
    </row>
    <row r="20" spans="1:8">
      <c r="A20" s="20" t="s">
        <v>73</v>
      </c>
      <c r="B20" s="20"/>
    </row>
    <row r="21" spans="1:8">
      <c r="A21" t="s">
        <v>68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"/>
  <sheetViews>
    <sheetView tabSelected="1" workbookViewId="0">
      <selection activeCell="A30" sqref="A30"/>
    </sheetView>
  </sheetViews>
  <sheetFormatPr defaultRowHeight="15"/>
  <cols>
    <col min="1" max="1" width="16.28515625" customWidth="1"/>
    <col min="2" max="2" width="18.140625" customWidth="1"/>
    <col min="3" max="7" width="12.140625" customWidth="1"/>
  </cols>
  <sheetData>
    <row r="1" spans="1:7" ht="15.75">
      <c r="A1" s="71" t="str">
        <f ca="1">BInfo( File0,"Base","HeaderLeft")</f>
        <v>Sibex Ltd</v>
      </c>
    </row>
    <row r="2" spans="1:7">
      <c r="A2" t="s">
        <v>65</v>
      </c>
      <c r="B2" s="66">
        <f>BStartPeriod(File0)</f>
        <v>42005</v>
      </c>
    </row>
    <row r="3" spans="1:7">
      <c r="A3" t="s">
        <v>64</v>
      </c>
      <c r="B3" s="66">
        <f>BEndPeriod(File0)</f>
        <v>42369</v>
      </c>
    </row>
    <row r="4" spans="1:7" ht="15.75">
      <c r="A4" s="27" t="s">
        <v>74</v>
      </c>
      <c r="B4" s="18"/>
      <c r="C4" s="18"/>
    </row>
    <row r="5" spans="1:7">
      <c r="A5" s="18" t="s">
        <v>75</v>
      </c>
      <c r="B5" t="s">
        <v>17</v>
      </c>
    </row>
    <row r="6" spans="1:7">
      <c r="A6" s="85"/>
      <c r="B6" s="60"/>
      <c r="C6" s="86" t="s">
        <v>93</v>
      </c>
      <c r="D6" s="87"/>
      <c r="E6" s="87"/>
      <c r="F6" s="88"/>
      <c r="G6" s="60"/>
    </row>
    <row r="7" spans="1:7">
      <c r="A7" s="60"/>
      <c r="B7" s="60"/>
      <c r="C7" s="60" t="s">
        <v>89</v>
      </c>
      <c r="D7" s="60" t="s">
        <v>79</v>
      </c>
      <c r="E7" s="60" t="s">
        <v>80</v>
      </c>
      <c r="F7" s="60" t="s">
        <v>81</v>
      </c>
      <c r="G7" s="60"/>
    </row>
    <row r="8" spans="1:7">
      <c r="A8" s="60" t="s">
        <v>91</v>
      </c>
      <c r="B8" s="60"/>
      <c r="C8" s="60" t="s">
        <v>82</v>
      </c>
      <c r="D8" s="60" t="s">
        <v>84</v>
      </c>
      <c r="E8" s="60" t="s">
        <v>85</v>
      </c>
      <c r="F8" s="60" t="s">
        <v>86</v>
      </c>
      <c r="G8" s="85" t="s">
        <v>59</v>
      </c>
    </row>
    <row r="9" spans="1:7">
      <c r="A9" s="60" t="s">
        <v>82</v>
      </c>
      <c r="B9" s="60" t="s">
        <v>89</v>
      </c>
      <c r="C9" s="82">
        <f ca="1">BAmount(File0,$B$5&amp;":"&amp;$A9&amp;":"&amp;C$8)</f>
        <v>0</v>
      </c>
      <c r="D9" s="82">
        <f ca="1">BAmount(File0,$B$5&amp;":"&amp;$A9&amp;":"&amp;D$8)</f>
        <v>0</v>
      </c>
      <c r="E9" s="82">
        <f ca="1">BAmount(File0,$B$5&amp;":"&amp;$A9&amp;":"&amp;E$8)</f>
        <v>0</v>
      </c>
      <c r="F9" s="82">
        <f ca="1">BAmount(File0,$B$5&amp;":"&amp;$A9&amp;":"&amp;F$8)</f>
        <v>0</v>
      </c>
      <c r="G9" s="84">
        <f ca="1">SUM(C9:F9)</f>
        <v>0</v>
      </c>
    </row>
    <row r="10" spans="1:7">
      <c r="A10" s="60" t="s">
        <v>83</v>
      </c>
      <c r="B10" s="83" t="s">
        <v>76</v>
      </c>
      <c r="C10" s="82">
        <f ca="1">BAmount(File0,$B$5&amp;":"&amp;$A10&amp;":"&amp;C$8)</f>
        <v>0</v>
      </c>
      <c r="D10" s="82">
        <f ca="1">BAmount(File0,$B$5&amp;":"&amp;$A10&amp;":"&amp;D$8)</f>
        <v>4818.18</v>
      </c>
      <c r="E10" s="82">
        <f ca="1">BAmount(File0,$B$5&amp;":"&amp;$A10&amp;":"&amp;E$8)</f>
        <v>1050</v>
      </c>
      <c r="F10" s="82">
        <f ca="1">BAmount(File0,$B$5&amp;":"&amp;$A10&amp;":"&amp;F$8)</f>
        <v>0</v>
      </c>
      <c r="G10" s="84">
        <f t="shared" ref="G10:G12" ca="1" si="0">SUM(C10:F10)</f>
        <v>5868.18</v>
      </c>
    </row>
    <row r="11" spans="1:7">
      <c r="A11" s="60" t="s">
        <v>87</v>
      </c>
      <c r="B11" s="83" t="s">
        <v>77</v>
      </c>
      <c r="C11" s="82">
        <f ca="1">BAmount(File0,$B$5&amp;":"&amp;$A11&amp;":"&amp;C$8)</f>
        <v>0</v>
      </c>
      <c r="D11" s="82">
        <f ca="1">BAmount(File0,$B$5&amp;":"&amp;$A11&amp;":"&amp;D$8)</f>
        <v>0</v>
      </c>
      <c r="E11" s="82">
        <f ca="1">BAmount(File0,$B$5&amp;":"&amp;$A11&amp;":"&amp;E$8)</f>
        <v>0</v>
      </c>
      <c r="F11" s="82">
        <f ca="1">BAmount(File0,$B$5&amp;":"&amp;$A11&amp;":"&amp;F$8)</f>
        <v>2100</v>
      </c>
      <c r="G11" s="84">
        <f t="shared" ca="1" si="0"/>
        <v>2100</v>
      </c>
    </row>
    <row r="12" spans="1:7">
      <c r="A12" s="60" t="s">
        <v>88</v>
      </c>
      <c r="B12" s="83" t="s">
        <v>78</v>
      </c>
      <c r="C12" s="82">
        <f ca="1">BAmount(File0,$B$5&amp;":"&amp;$A12&amp;":"&amp;C$8)</f>
        <v>0</v>
      </c>
      <c r="D12" s="82">
        <f ca="1">BAmount(File0,$B$5&amp;":"&amp;$A12&amp;":"&amp;D$8)</f>
        <v>0</v>
      </c>
      <c r="E12" s="82">
        <f ca="1">BAmount(File0,$B$5&amp;":"&amp;$A12&amp;":"&amp;E$8)</f>
        <v>372.73</v>
      </c>
      <c r="F12" s="82">
        <f ca="1">BAmount(File0,$B$5&amp;":"&amp;$A12&amp;":"&amp;F$8)</f>
        <v>0</v>
      </c>
      <c r="G12" s="84">
        <f t="shared" ca="1" si="0"/>
        <v>372.73</v>
      </c>
    </row>
    <row r="13" spans="1:7">
      <c r="A13" s="60"/>
      <c r="B13" s="63" t="s">
        <v>59</v>
      </c>
      <c r="C13" s="84">
        <f ca="1">SUM(C9:C12)</f>
        <v>0</v>
      </c>
      <c r="D13" s="84">
        <f t="shared" ref="D13:F13" ca="1" si="1">SUM(D9:D12)</f>
        <v>4818.18</v>
      </c>
      <c r="E13" s="84">
        <f t="shared" ca="1" si="1"/>
        <v>1422.73</v>
      </c>
      <c r="F13" s="84">
        <f t="shared" ca="1" si="1"/>
        <v>2100</v>
      </c>
      <c r="G13" s="84">
        <f ca="1">SUM(G9:G12)</f>
        <v>8340.91</v>
      </c>
    </row>
    <row r="14" spans="1:7">
      <c r="A14" t="s">
        <v>94</v>
      </c>
    </row>
    <row r="15" spans="1:7">
      <c r="A15" t="s">
        <v>96</v>
      </c>
    </row>
    <row r="17" spans="1:7">
      <c r="A17" s="18" t="s">
        <v>90</v>
      </c>
      <c r="B17" s="18"/>
      <c r="C17" s="18"/>
    </row>
    <row r="18" spans="1:7">
      <c r="A18" s="18" t="s">
        <v>75</v>
      </c>
      <c r="B18" t="s">
        <v>18</v>
      </c>
    </row>
    <row r="19" spans="1:7">
      <c r="A19" s="85"/>
      <c r="B19" s="60"/>
      <c r="C19" s="86" t="s">
        <v>93</v>
      </c>
      <c r="D19" s="87"/>
      <c r="E19" s="87"/>
      <c r="F19" s="88"/>
      <c r="G19" s="60"/>
    </row>
    <row r="20" spans="1:7">
      <c r="A20" s="60" t="s">
        <v>92</v>
      </c>
      <c r="B20" s="60"/>
      <c r="C20" s="60" t="s">
        <v>89</v>
      </c>
      <c r="D20" s="60" t="s">
        <v>79</v>
      </c>
      <c r="E20" s="60" t="s">
        <v>80</v>
      </c>
      <c r="F20" s="60" t="s">
        <v>81</v>
      </c>
      <c r="G20" s="60"/>
    </row>
    <row r="21" spans="1:7">
      <c r="A21" s="60" t="s">
        <v>91</v>
      </c>
      <c r="B21" s="60"/>
      <c r="C21" s="60" t="s">
        <v>82</v>
      </c>
      <c r="D21" s="60" t="s">
        <v>84</v>
      </c>
      <c r="E21" s="60" t="s">
        <v>85</v>
      </c>
      <c r="F21" s="60" t="s">
        <v>86</v>
      </c>
      <c r="G21" s="85" t="s">
        <v>59</v>
      </c>
    </row>
    <row r="22" spans="1:7">
      <c r="A22" s="60" t="s">
        <v>82</v>
      </c>
      <c r="B22" s="60" t="s">
        <v>89</v>
      </c>
      <c r="C22" s="82">
        <f ca="1">BAmount(File0,$B$18&amp;":"&amp;$A22&amp;":"&amp;C$21)</f>
        <v>0</v>
      </c>
      <c r="D22" s="82">
        <f ca="1">BAmount(File0,$B$18&amp;":"&amp;$A22&amp;":"&amp;D$21)</f>
        <v>0</v>
      </c>
      <c r="E22" s="82">
        <f ca="1">BAmount(File0,$B$18&amp;":"&amp;$A22&amp;":"&amp;E$21)</f>
        <v>0</v>
      </c>
      <c r="F22" s="82">
        <f ca="1">BAmount(File0,$B$18&amp;":"&amp;$A22&amp;":"&amp;F$21)</f>
        <v>0</v>
      </c>
      <c r="G22" s="84">
        <f ca="1">SUM(C22:F22)</f>
        <v>0</v>
      </c>
    </row>
    <row r="23" spans="1:7">
      <c r="A23" s="60" t="s">
        <v>83</v>
      </c>
      <c r="B23" s="83" t="s">
        <v>76</v>
      </c>
      <c r="C23" s="82">
        <f ca="1">BAmount(File0,$B$18&amp;":"&amp;$A23&amp;":"&amp;C$21)</f>
        <v>0</v>
      </c>
      <c r="D23" s="82">
        <f ca="1">BAmount(File0,$B$18&amp;":"&amp;$A23&amp;":"&amp;D$21)</f>
        <v>5909.09</v>
      </c>
      <c r="E23" s="82">
        <f ca="1">BAmount(File0,$B$18&amp;":"&amp;$A23&amp;":"&amp;E$21)</f>
        <v>0</v>
      </c>
      <c r="F23" s="82">
        <f ca="1">BAmount(File0,$B$18&amp;":"&amp;$A23&amp;":"&amp;F$21)</f>
        <v>0</v>
      </c>
      <c r="G23" s="84">
        <f t="shared" ref="G23:G25" ca="1" si="2">SUM(C23:F23)</f>
        <v>5909.09</v>
      </c>
    </row>
    <row r="24" spans="1:7">
      <c r="A24" s="60" t="s">
        <v>87</v>
      </c>
      <c r="B24" s="83" t="s">
        <v>77</v>
      </c>
      <c r="C24" s="82">
        <f ca="1">BAmount(File0,$B$18&amp;":"&amp;$A24&amp;":"&amp;C$21)</f>
        <v>0</v>
      </c>
      <c r="D24" s="82">
        <f ca="1">BAmount(File0,$B$18&amp;":"&amp;$A24&amp;":"&amp;D$21)</f>
        <v>2545.4499999999998</v>
      </c>
      <c r="E24" s="82">
        <f ca="1">BAmount(File0,$B$18&amp;":"&amp;$A24&amp;":"&amp;E$21)</f>
        <v>0</v>
      </c>
      <c r="F24" s="82">
        <f ca="1">BAmount(File0,$B$18&amp;":"&amp;$A24&amp;":"&amp;F$21)</f>
        <v>0</v>
      </c>
      <c r="G24" s="84">
        <f t="shared" ca="1" si="2"/>
        <v>2545.4499999999998</v>
      </c>
    </row>
    <row r="25" spans="1:7">
      <c r="A25" s="60" t="s">
        <v>88</v>
      </c>
      <c r="B25" s="83" t="s">
        <v>78</v>
      </c>
      <c r="C25" s="82">
        <f ca="1">BAmount(File0,$B$18&amp;":"&amp;$A25&amp;":"&amp;C$21)</f>
        <v>0</v>
      </c>
      <c r="D25" s="82">
        <f ca="1">BAmount(File0,$B$18&amp;":"&amp;$A25&amp;":"&amp;D$21)</f>
        <v>0</v>
      </c>
      <c r="E25" s="82">
        <f ca="1">BAmount(File0,$B$18&amp;":"&amp;$A25&amp;":"&amp;E$21)</f>
        <v>0</v>
      </c>
      <c r="F25" s="82">
        <f ca="1">BAmount(File0,$B$18&amp;":"&amp;$A25&amp;":"&amp;F$21)</f>
        <v>0</v>
      </c>
      <c r="G25" s="84">
        <f t="shared" ca="1" si="2"/>
        <v>0</v>
      </c>
    </row>
    <row r="26" spans="1:7">
      <c r="A26" s="60"/>
      <c r="B26" s="63" t="s">
        <v>59</v>
      </c>
      <c r="C26" s="84">
        <f ca="1">SUM(C22:C25)</f>
        <v>0</v>
      </c>
      <c r="D26" s="84">
        <f t="shared" ref="D26" ca="1" si="3">SUM(D22:D25)</f>
        <v>8454.5400000000009</v>
      </c>
      <c r="E26" s="84">
        <f t="shared" ref="E26" ca="1" si="4">SUM(E22:E25)</f>
        <v>0</v>
      </c>
      <c r="F26" s="84">
        <f t="shared" ref="F26" ca="1" si="5">SUM(F22:F25)</f>
        <v>0</v>
      </c>
      <c r="G26" s="84">
        <f ca="1">SUM(G22:G25)</f>
        <v>8454.5400000000009</v>
      </c>
    </row>
    <row r="27" spans="1:7">
      <c r="A27" t="s">
        <v>95</v>
      </c>
    </row>
    <row r="28" spans="1:7">
      <c r="A28" t="s">
        <v>96</v>
      </c>
    </row>
  </sheetData>
  <mergeCells count="2">
    <mergeCell ref="C6:F6"/>
    <mergeCell ref="C19:F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Start</vt:lpstr>
      <vt:lpstr>Current &amp; Last Yeat</vt:lpstr>
      <vt:lpstr>Cost Division</vt:lpstr>
      <vt:lpstr>Segments</vt:lpstr>
      <vt:lpstr>DisableConnection</vt:lpstr>
      <vt:lpstr>File0</vt:lpstr>
      <vt:lpstr>File1</vt:lpstr>
      <vt:lpstr>File2</vt:lpstr>
      <vt:lpstr>'Current &amp; Last Yeat'!Print_Area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</cp:lastModifiedBy>
  <cp:lastPrinted>2015-11-28T15:06:09Z</cp:lastPrinted>
  <dcterms:created xsi:type="dcterms:W3CDTF">2014-07-24T08:59:22Z</dcterms:created>
  <dcterms:modified xsi:type="dcterms:W3CDTF">2016-04-29T04:39:14Z</dcterms:modified>
</cp:coreProperties>
</file>