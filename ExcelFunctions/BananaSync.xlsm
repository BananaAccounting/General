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ico\Documents\GitHub\General\ExcelFunctions\"/>
    </mc:Choice>
  </mc:AlternateContent>
  <bookViews>
    <workbookView xWindow="24750" yWindow="150" windowWidth="25350" windowHeight="12705" activeTab="2"/>
  </bookViews>
  <sheets>
    <sheet name="Start" sheetId="1" r:id="rId1"/>
    <sheet name="Current &amp; Last Yeat" sheetId="6" r:id="rId2"/>
    <sheet name="Cost Division" sheetId="7" r:id="rId3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1">'Current &amp; Last Yeat'!$B$2:$D$32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C16" i="7" l="1"/>
  <c r="C6" i="7" l="1"/>
  <c r="B3" i="1"/>
  <c r="B11" i="1"/>
  <c r="B4" i="7"/>
  <c r="B12" i="1"/>
  <c r="B3" i="7"/>
  <c r="B13" i="1"/>
  <c r="B6" i="6"/>
  <c r="D7" i="6"/>
  <c r="D29" i="6"/>
  <c r="C9" i="7"/>
  <c r="B14" i="7"/>
  <c r="D13" i="6"/>
  <c r="C26" i="6"/>
  <c r="B26" i="6"/>
  <c r="D30" i="6"/>
  <c r="C10" i="7"/>
  <c r="B25" i="6"/>
  <c r="C8" i="6"/>
  <c r="C7" i="7"/>
  <c r="C14" i="6"/>
  <c r="D4" i="6"/>
  <c r="D31" i="6"/>
  <c r="D10" i="6"/>
  <c r="B9" i="6"/>
  <c r="C10" i="6"/>
  <c r="C13" i="6"/>
  <c r="A1" i="7"/>
  <c r="D8" i="6"/>
  <c r="C27" i="6"/>
  <c r="B29" i="6"/>
  <c r="B13" i="6"/>
  <c r="C17" i="6"/>
  <c r="B8" i="7"/>
  <c r="B11" i="6"/>
  <c r="C5" i="6"/>
  <c r="B12" i="6"/>
  <c r="C13" i="7"/>
  <c r="C11" i="7"/>
  <c r="C11" i="6"/>
  <c r="D5" i="6"/>
  <c r="D19" i="6"/>
  <c r="B24" i="6"/>
  <c r="C29" i="6"/>
  <c r="D18" i="6"/>
  <c r="B28" i="6"/>
  <c r="C30" i="6"/>
  <c r="C16" i="6"/>
  <c r="C6" i="6"/>
  <c r="D26" i="6"/>
  <c r="D21" i="6"/>
  <c r="B8" i="6"/>
  <c r="B9" i="7"/>
  <c r="D22" i="6"/>
  <c r="D14" i="6"/>
  <c r="B27" i="6"/>
  <c r="B7" i="6"/>
  <c r="B17" i="6"/>
  <c r="B10" i="6"/>
  <c r="D27" i="6"/>
  <c r="B12" i="7"/>
  <c r="D16" i="6"/>
  <c r="D17" i="6"/>
  <c r="B18" i="6"/>
  <c r="C24" i="6"/>
  <c r="D25" i="6"/>
  <c r="C22" i="6"/>
  <c r="B19" i="6"/>
  <c r="B13" i="7"/>
  <c r="C18" i="6"/>
  <c r="B7" i="7"/>
  <c r="C12" i="6"/>
  <c r="D12" i="6"/>
  <c r="B5" i="6"/>
  <c r="B31" i="6"/>
  <c r="B2" i="6"/>
  <c r="B16" i="6"/>
  <c r="C9" i="6"/>
  <c r="C7" i="6"/>
  <c r="C19" i="6"/>
  <c r="B32" i="6"/>
  <c r="D32" i="6"/>
  <c r="D11" i="6"/>
  <c r="B11" i="7"/>
  <c r="B30" i="6"/>
  <c r="D9" i="6"/>
  <c r="D6" i="6"/>
  <c r="C25" i="6"/>
  <c r="C32" i="6"/>
  <c r="C31" i="6"/>
  <c r="B10" i="7"/>
  <c r="C28" i="6"/>
  <c r="C12" i="7"/>
  <c r="B14" i="6"/>
  <c r="C21" i="6"/>
  <c r="D28" i="6"/>
  <c r="D15" i="6"/>
  <c r="C14" i="7"/>
  <c r="B22" i="6"/>
  <c r="C4" i="6"/>
  <c r="C8" i="7"/>
  <c r="F7" i="7" l="1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 s="1"/>
  <c r="C6" i="1"/>
  <c r="D24" i="6"/>
  <c r="F15" i="7" l="1"/>
  <c r="F17" i="7" s="1"/>
  <c r="D15" i="7"/>
  <c r="D17" i="7" s="1"/>
  <c r="G15" i="7"/>
  <c r="G17" i="7" s="1"/>
  <c r="E15" i="7"/>
  <c r="E17" i="7" s="1"/>
  <c r="C18" i="7" l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<sst xmlns="http://schemas.openxmlformats.org/spreadsheetml/2006/main" count="78" uniqueCount="74">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</sst>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8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8" fillId="0" borderId="2" xfId="1" applyFont="1" applyBorder="1" applyAlignment="1"/>
    <xf numFmtId="164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8" fillId="0" borderId="3" xfId="1" applyFont="1" applyBorder="1" applyAlignment="1"/>
    <xf numFmtId="164" fontId="18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1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2" fillId="2" borderId="9" xfId="0" applyNumberFormat="1" applyFont="1" applyFill="1" applyBorder="1"/>
    <xf numFmtId="164" fontId="0" fillId="0" borderId="0" xfId="0" applyNumberFormat="1" applyFill="1"/>
    <xf numFmtId="0" fontId="23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4" fillId="0" borderId="12" xfId="0" applyFont="1" applyBorder="1" applyAlignment="1">
      <alignment vertical="center" wrapText="1"/>
    </xf>
    <xf numFmtId="0" fontId="0" fillId="0" borderId="13" xfId="0" applyBorder="1"/>
    <xf numFmtId="0" fontId="20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5" fillId="0" borderId="0" xfId="0" applyFont="1" applyAlignment="1">
      <alignment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A50" sqref="A50"/>
    </sheetView>
  </sheetViews>
  <sheetFormatPr defaultColWidth="9.140625" defaultRowHeight="1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>
      <c r="A1" s="6"/>
    </row>
    <row r="2" spans="1:5">
      <c r="A2" s="19" t="s">
        <v>0</v>
      </c>
      <c r="B2" s="18" t="s">
        <v>19</v>
      </c>
    </row>
    <row r="3" spans="1:5">
      <c r="A3" s="19"/>
      <c r="B3" s="22" t="str">
        <f>BFunctionsVersion()</f>
        <v>2015-04-26</v>
      </c>
    </row>
    <row r="4" spans="1:5">
      <c r="A4" s="19"/>
    </row>
    <row r="5" spans="1:5">
      <c r="B5" s="24"/>
      <c r="E5" s="23"/>
    </row>
    <row r="6" spans="1: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>
      <c r="A7" s="18" t="s">
        <v>27</v>
      </c>
      <c r="B7" s="20" t="s">
        <v>3</v>
      </c>
    </row>
    <row r="8" spans="1:5">
      <c r="A8" s="18" t="s">
        <v>28</v>
      </c>
      <c r="B8" s="20"/>
    </row>
    <row r="9" spans="1:5">
      <c r="B9" s="26"/>
    </row>
    <row r="10" spans="1:5">
      <c r="B10" s="26"/>
      <c r="C10" t="s">
        <v>30</v>
      </c>
    </row>
    <row r="11" spans="1:5">
      <c r="A11" s="18" t="s">
        <v>21</v>
      </c>
      <c r="B11" s="18" t="str">
        <f>BFileName( B6,DisableConnection)</f>
        <v>company-2015.ac2</v>
      </c>
      <c r="C11" t="s">
        <v>26</v>
      </c>
    </row>
    <row r="12" spans="1:5">
      <c r="A12" s="18" t="s">
        <v>22</v>
      </c>
      <c r="B12" s="18" t="str">
        <f>BFileName( B7,DisableConnection)</f>
        <v>company-2014.ac2</v>
      </c>
      <c r="C12" t="s">
        <v>54</v>
      </c>
    </row>
    <row r="13" spans="1:5">
      <c r="A13" s="18" t="s">
        <v>29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55</v>
      </c>
      <c r="B15" s="53"/>
      <c r="C15" t="s">
        <v>56</v>
      </c>
    </row>
    <row r="16" spans="1:5">
      <c r="C16" t="s">
        <v>57</v>
      </c>
      <c r="D16" s="5"/>
    </row>
    <row r="17" spans="1:6">
      <c r="B17" s="18"/>
      <c r="C17" s="22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9" t="s">
        <v>23</v>
      </c>
      <c r="B19" s="11"/>
      <c r="C19" s="11"/>
      <c r="D19" s="12"/>
      <c r="E19" s="12"/>
      <c r="F19" s="12"/>
    </row>
    <row r="20" spans="1:6" s="7" customFormat="1" ht="15.75">
      <c r="A20" s="27" t="s">
        <v>1</v>
      </c>
      <c r="B20" s="11"/>
      <c r="C20" s="11"/>
      <c r="D20" s="12"/>
      <c r="E20" s="12"/>
      <c r="F20" s="12"/>
    </row>
    <row r="21" spans="1:6" s="7" customFormat="1">
      <c r="A21" t="s">
        <v>24</v>
      </c>
      <c r="B21" s="11"/>
      <c r="C21" s="11"/>
      <c r="D21" s="12"/>
      <c r="E21" s="12"/>
      <c r="F21" s="12"/>
    </row>
    <row r="22" spans="1:6" s="7" customFormat="1">
      <c r="A22" t="s">
        <v>14</v>
      </c>
      <c r="B22" s="11"/>
      <c r="C22" s="11"/>
      <c r="D22" s="12"/>
      <c r="E22" s="12"/>
      <c r="F22" s="12"/>
    </row>
    <row r="23" spans="1:6" s="7" customFormat="1">
      <c r="A23" t="s">
        <v>16</v>
      </c>
      <c r="B23" s="11"/>
      <c r="C23" s="11"/>
      <c r="D23" s="12"/>
      <c r="E23" s="12"/>
      <c r="F23" s="12"/>
    </row>
    <row r="24" spans="1:6" s="7" customFormat="1">
      <c r="A24" s="26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75">
      <c r="A26" s="30" t="s">
        <v>15</v>
      </c>
      <c r="B26" s="11"/>
      <c r="C26" s="11"/>
      <c r="D26" s="12"/>
      <c r="E26" s="12"/>
      <c r="F26" s="12"/>
    </row>
    <row r="27" spans="1:6" s="7" customFormat="1">
      <c r="A27" s="31" t="s">
        <v>31</v>
      </c>
      <c r="B27" s="11"/>
      <c r="C27" s="11"/>
      <c r="D27" s="12"/>
      <c r="E27" s="12"/>
      <c r="F27" s="12"/>
    </row>
    <row r="28" spans="1:6" s="7" customFormat="1">
      <c r="A28" s="22" t="s">
        <v>4</v>
      </c>
      <c r="B28" s="11"/>
      <c r="C28" s="11"/>
      <c r="D28" s="12"/>
      <c r="E28" s="12"/>
      <c r="F28" s="12"/>
    </row>
    <row r="29" spans="1:6">
      <c r="A29" s="22" t="s">
        <v>5</v>
      </c>
      <c r="B29" s="13"/>
      <c r="C29" s="13"/>
      <c r="D29" s="14"/>
      <c r="E29" s="14"/>
      <c r="F29" s="14"/>
    </row>
    <row r="30" spans="1:6">
      <c r="A30" s="22" t="s">
        <v>6</v>
      </c>
      <c r="B30" s="11"/>
      <c r="C30" s="11"/>
      <c r="D30" s="14"/>
      <c r="E30" s="14"/>
      <c r="F30" s="14"/>
    </row>
    <row r="31" spans="1:6">
      <c r="A31" s="22" t="s">
        <v>7</v>
      </c>
      <c r="B31" s="11"/>
      <c r="C31" s="11"/>
      <c r="D31" s="14"/>
      <c r="E31" s="14"/>
      <c r="F31" s="14"/>
    </row>
    <row r="32" spans="1:6">
      <c r="A32" s="22" t="s">
        <v>4</v>
      </c>
      <c r="B32" s="11"/>
      <c r="C32" s="11"/>
      <c r="D32" s="14"/>
      <c r="E32" s="14"/>
      <c r="F32" s="14"/>
    </row>
    <row r="33" spans="1:6">
      <c r="A33" s="25" t="s">
        <v>8</v>
      </c>
      <c r="B33" s="13"/>
      <c r="C33" s="13"/>
      <c r="D33" s="14"/>
      <c r="E33" s="14"/>
      <c r="F33" s="14"/>
    </row>
    <row r="34" spans="1:6">
      <c r="A34" s="22" t="s">
        <v>4</v>
      </c>
      <c r="B34" s="11"/>
      <c r="C34" s="11"/>
      <c r="D34" s="12"/>
      <c r="E34" s="12"/>
      <c r="F34" s="12"/>
    </row>
    <row r="35" spans="1:6">
      <c r="A35" s="22" t="s">
        <v>9</v>
      </c>
      <c r="B35" s="11"/>
      <c r="C35" s="11"/>
      <c r="D35" s="12"/>
      <c r="E35" s="12"/>
      <c r="F35" s="12"/>
    </row>
    <row r="36" spans="1:6">
      <c r="A36" s="22" t="s">
        <v>10</v>
      </c>
      <c r="B36" s="11"/>
      <c r="C36" s="11"/>
      <c r="D36" s="12"/>
      <c r="E36" s="12"/>
      <c r="F36" s="12"/>
    </row>
    <row r="37" spans="1:6">
      <c r="A37" s="22" t="s">
        <v>11</v>
      </c>
      <c r="B37" s="17"/>
      <c r="C37" s="17"/>
      <c r="D37" s="9"/>
      <c r="E37" s="9"/>
      <c r="F37" s="9"/>
    </row>
    <row r="38" spans="1:6">
      <c r="A38" s="22" t="s">
        <v>12</v>
      </c>
      <c r="B38" s="11"/>
      <c r="C38" s="11"/>
      <c r="D38" s="12"/>
      <c r="E38" s="12"/>
      <c r="F38" s="12"/>
    </row>
    <row r="39" spans="1:6">
      <c r="A39" s="22" t="s">
        <v>13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70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C21" sqref="C21"/>
    </sheetView>
  </sheetViews>
  <sheetFormatPr defaultColWidth="9.140625" defaultRowHeight="1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>
      <c r="B2" s="34" t="str">
        <f ca="1">BInfo( File0,"Base","HeaderLeft")</f>
        <v>Sibex Ltd</v>
      </c>
      <c r="C2" s="28"/>
    </row>
    <row r="3" spans="1:4" ht="18">
      <c r="B3" s="34"/>
      <c r="C3" s="28"/>
    </row>
    <row r="4" spans="1:4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>
      <c r="A5" s="10" t="s">
        <v>32</v>
      </c>
      <c r="B5" s="35" t="str">
        <f t="shared" ref="B5:B14" ca="1" si="0">BAccountDescription(File0,A5)</f>
        <v>Cash</v>
      </c>
      <c r="C5" s="36">
        <f ca="1">BAmount(File0,$A5)</f>
        <v>17758.18</v>
      </c>
      <c r="D5" s="37">
        <f t="shared" ref="D5:D19" ca="1" si="1">BAmount(File1,$A5)</f>
        <v>19070</v>
      </c>
    </row>
    <row r="6" spans="1:4">
      <c r="A6" s="10" t="s">
        <v>34</v>
      </c>
      <c r="B6" s="35" t="str">
        <f t="shared" ca="1" si="0"/>
        <v>Accounts Receivable</v>
      </c>
      <c r="C6" s="36">
        <f ca="1">BAmount(File0,$A6)</f>
        <v>10000</v>
      </c>
      <c r="D6" s="37">
        <f t="shared" ca="1" si="1"/>
        <v>10000</v>
      </c>
    </row>
    <row r="7" spans="1:4" s="7" customFormat="1">
      <c r="A7" s="10" t="s">
        <v>35</v>
      </c>
      <c r="B7" s="35" t="str">
        <f t="shared" ca="1" si="0"/>
        <v>Inventory</v>
      </c>
      <c r="C7" s="36">
        <f t="shared" ref="C7:C14" ca="1" si="2">BAmount(File0,$A7)</f>
        <v>7000</v>
      </c>
      <c r="D7" s="37">
        <f t="shared" ca="1" si="1"/>
        <v>7000</v>
      </c>
    </row>
    <row r="8" spans="1:4" s="7" customFormat="1">
      <c r="A8" s="10" t="s">
        <v>36</v>
      </c>
      <c r="B8" s="35" t="str">
        <f t="shared" ca="1" si="0"/>
        <v>Prepaid Expenses</v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>Current Assets</v>
      </c>
      <c r="C9" s="39">
        <f ca="1">BAmount(File0,$A9)</f>
        <v>34758.18</v>
      </c>
      <c r="D9" s="37">
        <f t="shared" ca="1" si="1"/>
        <v>36070</v>
      </c>
    </row>
    <row r="10" spans="1:4" s="7" customFormat="1">
      <c r="A10" s="10" t="s">
        <v>38</v>
      </c>
      <c r="B10" s="35" t="str">
        <f t="shared" ca="1" si="0"/>
        <v>Equipment</v>
      </c>
      <c r="C10" s="36">
        <f t="shared" ca="1" si="2"/>
        <v>35000</v>
      </c>
      <c r="D10" s="37">
        <f t="shared" ca="1" si="1"/>
        <v>35000</v>
      </c>
    </row>
    <row r="11" spans="1:4" s="7" customFormat="1">
      <c r="A11" s="10" t="s">
        <v>39</v>
      </c>
      <c r="B11" s="35" t="str">
        <f t="shared" ca="1" si="0"/>
        <v>Real Estate</v>
      </c>
      <c r="C11" s="36">
        <f t="shared" ca="1" si="2"/>
        <v>100000</v>
      </c>
      <c r="D11" s="37">
        <f t="shared" ca="1" si="1"/>
        <v>100000</v>
      </c>
    </row>
    <row r="12" spans="1:4" s="7" customFormat="1">
      <c r="A12" s="10" t="s">
        <v>38</v>
      </c>
      <c r="B12" s="35" t="str">
        <f t="shared" ca="1" si="0"/>
        <v>Equipment</v>
      </c>
      <c r="C12" s="36">
        <f t="shared" ca="1" si="2"/>
        <v>35000</v>
      </c>
      <c r="D12" s="37">
        <f t="shared" ca="1" si="1"/>
        <v>35000</v>
      </c>
    </row>
    <row r="13" spans="1:4" s="7" customFormat="1">
      <c r="A13" s="10" t="s">
        <v>41</v>
      </c>
      <c r="B13" s="38" t="str">
        <f t="shared" ca="1" si="0"/>
        <v>Fixed Assets</v>
      </c>
      <c r="C13" s="39">
        <f t="shared" ca="1" si="2"/>
        <v>135000</v>
      </c>
      <c r="D13" s="37">
        <f t="shared" ca="1" si="1"/>
        <v>135000</v>
      </c>
    </row>
    <row r="14" spans="1:4" s="7" customFormat="1">
      <c r="A14" s="10" t="s">
        <v>40</v>
      </c>
      <c r="B14" s="46" t="str">
        <f t="shared" ca="1" si="0"/>
        <v>Total ASSETS</v>
      </c>
      <c r="C14" s="47">
        <f t="shared" ca="1" si="2"/>
        <v>169758.18</v>
      </c>
      <c r="D14" s="32">
        <f t="shared" ca="1" si="1"/>
        <v>171070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>Current Liabilities</v>
      </c>
      <c r="C16" s="40">
        <f ca="1">BAmount(File0,$A16)</f>
        <v>126.37</v>
      </c>
      <c r="D16" s="37">
        <f t="shared" ca="1" si="1"/>
        <v>1551.82</v>
      </c>
    </row>
    <row r="17" spans="1:4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1"/>
        <v>80000</v>
      </c>
    </row>
    <row r="18" spans="1:4">
      <c r="A18" s="10" t="s">
        <v>44</v>
      </c>
      <c r="B18" s="35" t="str">
        <f ca="1">BAccountDescription(File0,A18)</f>
        <v>Shareholders' Equity</v>
      </c>
      <c r="C18" s="36">
        <f ca="1">BAmount(File0,$A18)</f>
        <v>89631.81</v>
      </c>
      <c r="D18" s="37">
        <f t="shared" ca="1" si="1"/>
        <v>89518.18</v>
      </c>
    </row>
    <row r="19" spans="1:4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1"/>
        <v>171070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3636.36</v>
      </c>
    </row>
    <row r="25" spans="1:4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3390.91</v>
      </c>
    </row>
    <row r="27" spans="1:4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3390.91</v>
      </c>
    </row>
    <row r="29" spans="1:4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7027.27</v>
      </c>
    </row>
    <row r="32" spans="1:4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2518.1799999999998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tabSelected="1" workbookViewId="0">
      <selection activeCell="C30" sqref="C30"/>
    </sheetView>
  </sheetViews>
  <sheetFormatPr defaultRowHeight="15"/>
  <cols>
    <col min="1" max="1" width="13.28515625" customWidth="1"/>
    <col min="2" max="2" width="27.42578125" customWidth="1"/>
    <col min="3" max="3" width="11.140625" customWidth="1"/>
    <col min="4" max="4" width="10.42578125" customWidth="1"/>
    <col min="5" max="5" width="10" customWidth="1"/>
    <col min="7" max="7" width="10.85546875" customWidth="1"/>
  </cols>
  <sheetData>
    <row r="1" spans="1:9" ht="15.75">
      <c r="A1" s="71" t="str">
        <f ca="1">BInfo( File0,"Base","HeaderLeft")</f>
        <v>Sibex Ltd</v>
      </c>
    </row>
    <row r="2" spans="1:9" ht="15.75">
      <c r="A2" s="27" t="s">
        <v>69</v>
      </c>
    </row>
    <row r="3" spans="1:9">
      <c r="A3" t="s">
        <v>65</v>
      </c>
      <c r="B3" s="66">
        <f>BStartPeriod(File0)</f>
        <v>42005</v>
      </c>
    </row>
    <row r="4" spans="1:9">
      <c r="A4" t="s">
        <v>64</v>
      </c>
      <c r="B4" s="66">
        <f>BEndPeriod(File0)</f>
        <v>42369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9" ca="1" si="0">BAccountDescription(File0,A7)</f>
        <v>Car expenses</v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>
      <c r="A8" s="77">
        <v>3230</v>
      </c>
      <c r="B8" s="59" t="str">
        <f t="shared" ca="1" si="0"/>
        <v>Other insurances</v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>
      <c r="A9" s="77">
        <v>3240</v>
      </c>
      <c r="B9" s="59" t="str">
        <f t="shared" ca="1" si="0"/>
        <v>Fees</v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>
      <c r="A10" s="77">
        <v>3250</v>
      </c>
      <c r="B10" s="59" t="str">
        <f t="shared" ref="B10:B14" ca="1" si="4">BAccountDescription(File0,A10)</f>
        <v>Electricity</v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>
      <c r="A11" s="77">
        <v>3260</v>
      </c>
      <c r="B11" s="59" t="str">
        <f t="shared" ca="1" si="4"/>
        <v>Office supplies</v>
      </c>
      <c r="C11" s="57">
        <f t="shared" ca="1" si="2"/>
        <v>27.27</v>
      </c>
      <c r="D11" s="58">
        <f t="shared" ca="1" si="3"/>
        <v>5.4540000000000006</v>
      </c>
      <c r="E11" s="58">
        <f t="shared" ca="1" si="1"/>
        <v>13.635</v>
      </c>
      <c r="F11" s="58">
        <f t="shared" ca="1" si="1"/>
        <v>0</v>
      </c>
      <c r="G11" s="55">
        <f t="shared" ca="1" si="1"/>
        <v>8.1809999999999992</v>
      </c>
    </row>
    <row r="12" spans="1:9">
      <c r="A12" s="77">
        <v>3270</v>
      </c>
      <c r="B12" s="59" t="str">
        <f t="shared" ca="1" si="4"/>
        <v>Telephone, Fax</v>
      </c>
      <c r="C12" s="57">
        <f t="shared" ca="1" si="2"/>
        <v>345.46</v>
      </c>
      <c r="D12" s="58">
        <f t="shared" ca="1" si="3"/>
        <v>69.091999999999999</v>
      </c>
      <c r="E12" s="58">
        <f t="shared" ca="1" si="1"/>
        <v>172.73</v>
      </c>
      <c r="F12" s="58">
        <f t="shared" ca="1" si="1"/>
        <v>0</v>
      </c>
      <c r="G12" s="55">
        <f t="shared" ca="1" si="1"/>
        <v>103.63799999999999</v>
      </c>
    </row>
    <row r="13" spans="1:9">
      <c r="A13" s="77">
        <v>3280</v>
      </c>
      <c r="B13" s="59" t="str">
        <f t="shared" ca="1" si="4"/>
        <v>Mailing fees</v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>
      <c r="A14" s="77">
        <v>3290</v>
      </c>
      <c r="B14" s="59" t="str">
        <f t="shared" ca="1" si="4"/>
        <v>Advertising</v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>
      <c r="A15" s="60"/>
      <c r="B15" s="63" t="s">
        <v>59</v>
      </c>
      <c r="C15" s="64">
        <f ca="1">SUM(C7:C14)</f>
        <v>372.72999999999996</v>
      </c>
      <c r="D15" s="64">
        <f ca="1">SUM(D7:D14)</f>
        <v>74.545999999999992</v>
      </c>
      <c r="E15" s="64">
        <f t="shared" ref="E15:G15" ca="1" si="5">SUM(E7:E14)</f>
        <v>186.36499999999998</v>
      </c>
      <c r="F15" s="64">
        <f t="shared" ca="1" si="5"/>
        <v>0</v>
      </c>
      <c r="G15" s="65">
        <f t="shared" ca="1" si="5"/>
        <v>111.81899999999999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72.729999999999961</v>
      </c>
      <c r="D17" s="64">
        <f t="shared" ref="D17:G17" ca="1" si="6">D15-D16</f>
        <v>-25.454000000000008</v>
      </c>
      <c r="E17" s="64">
        <f t="shared" ca="1" si="6"/>
        <v>86.364999999999981</v>
      </c>
      <c r="F17" s="64">
        <f t="shared" ca="1" si="6"/>
        <v>0</v>
      </c>
      <c r="G17" s="64">
        <f t="shared" ca="1" si="6"/>
        <v>11.818999999999988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Current &amp; Last Yeat</vt:lpstr>
      <vt:lpstr>Cost Division</vt:lpstr>
      <vt:lpstr>DisableConnection</vt:lpstr>
      <vt:lpstr>File0</vt:lpstr>
      <vt:lpstr>File1</vt:lpstr>
      <vt:lpstr>File2</vt:lpstr>
      <vt:lpstr>'Current &amp; Last Yeat'!Print_Area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</cp:lastModifiedBy>
  <cp:lastPrinted>2015-11-28T15:06:09Z</cp:lastPrinted>
  <dcterms:created xsi:type="dcterms:W3CDTF">2014-07-24T08:59:22Z</dcterms:created>
  <dcterms:modified xsi:type="dcterms:W3CDTF">2016-04-28T06:24:28Z</dcterms:modified>
</cp:coreProperties>
</file>