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_000\Documents\GitHub\General\ExcelFunctions\"/>
    </mc:Choice>
  </mc:AlternateContent>
  <bookViews>
    <workbookView xWindow="24750" yWindow="150" windowWidth="25350" windowHeight="12705" activeTab="2"/>
  </bookViews>
  <sheets>
    <sheet name="Start" sheetId="1" r:id="rId1"/>
    <sheet name="Current &amp; Last Yeat" sheetId="6" r:id="rId2"/>
    <sheet name="Cost Division" sheetId="7" r:id="rId3"/>
  </sheets>
  <functionGroups builtInGroupCount="18"/>
  <definedNames>
    <definedName name="_xlnm.Print_Area" localSheetId="1">'Current &amp; Last Yeat'!$B$2:$D$32</definedName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  <fileRecoveryPr repairLoad="1"/>
</workbook>
</file>

<file path=xl/calcChain.xml><?xml version="1.0" encoding="utf-8"?>
<calcChain xmlns="http://schemas.openxmlformats.org/spreadsheetml/2006/main">
  <c r="C16" i="7" l="1"/>
  <c r="C6" i="7" l="1"/>
  <c r="B3" i="1"/>
  <c r="B12" i="1"/>
  <c r="D24" i="6" s="1"/>
  <c r="D30" i="6"/>
  <c r="D4" i="6"/>
  <c r="D19" i="6"/>
  <c r="D8" i="6"/>
  <c r="D7" i="6"/>
  <c r="D27" i="6"/>
  <c r="D5" i="6"/>
  <c r="D12" i="6"/>
  <c r="D31" i="6"/>
  <c r="D18" i="6"/>
  <c r="D13" i="6"/>
  <c r="D11" i="6"/>
  <c r="D26" i="6"/>
  <c r="D9" i="6"/>
  <c r="D17" i="6"/>
  <c r="D16" i="6"/>
  <c r="B13" i="1"/>
  <c r="D10" i="6"/>
  <c r="D21" i="6"/>
  <c r="D32" i="6"/>
  <c r="D28" i="6"/>
  <c r="D6" i="6"/>
  <c r="B11" i="1"/>
  <c r="C10" i="7"/>
  <c r="D15" i="6"/>
  <c r="B29" i="6"/>
  <c r="D25" i="6"/>
  <c r="D22" i="6"/>
  <c r="B7" i="6"/>
  <c r="B10" i="6"/>
  <c r="B13" i="6"/>
  <c r="B18" i="6"/>
  <c r="B11" i="7"/>
  <c r="D14" i="6"/>
  <c r="C11" i="6"/>
  <c r="C26" i="6"/>
  <c r="C21" i="6"/>
  <c r="D29" i="6"/>
  <c r="B12" i="7"/>
  <c r="C32" i="6"/>
  <c r="B8" i="6"/>
  <c r="B3" i="7"/>
  <c r="B6" i="6"/>
  <c r="B12" i="6"/>
  <c r="C13" i="7"/>
  <c r="C14" i="7"/>
  <c r="C4" i="6"/>
  <c r="C6" i="6"/>
  <c r="B13" i="7"/>
  <c r="C11" i="7"/>
  <c r="C14" i="6"/>
  <c r="B11" i="6"/>
  <c r="A1" i="7"/>
  <c r="B9" i="6"/>
  <c r="B24" i="6"/>
  <c r="C16" i="6"/>
  <c r="B28" i="6"/>
  <c r="C27" i="6"/>
  <c r="B14" i="7"/>
  <c r="B14" i="6"/>
  <c r="C9" i="6"/>
  <c r="B31" i="6"/>
  <c r="C8" i="6"/>
  <c r="B5" i="6"/>
  <c r="B8" i="7"/>
  <c r="C7" i="6"/>
  <c r="B22" i="6"/>
  <c r="B26" i="6"/>
  <c r="B17" i="6"/>
  <c r="C30" i="6"/>
  <c r="C31" i="6"/>
  <c r="C9" i="7"/>
  <c r="C22" i="6"/>
  <c r="C10" i="6"/>
  <c r="C19" i="6"/>
  <c r="C25" i="6"/>
  <c r="B19" i="6"/>
  <c r="C29" i="6"/>
  <c r="C18" i="6"/>
  <c r="B7" i="7"/>
  <c r="C28" i="6"/>
  <c r="C8" i="7"/>
  <c r="B2" i="6"/>
  <c r="C12" i="6"/>
  <c r="B16" i="6"/>
  <c r="C7" i="7"/>
  <c r="B9" i="7"/>
  <c r="C12" i="7"/>
  <c r="C13" i="6"/>
  <c r="C5" i="6"/>
  <c r="B30" i="6"/>
  <c r="B10" i="7"/>
  <c r="B32" i="6"/>
  <c r="B27" i="6"/>
  <c r="C24" i="6"/>
  <c r="B4" i="7"/>
  <c r="C17" i="6"/>
  <c r="B25" i="6"/>
  <c r="F7" i="7" l="1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 s="1"/>
  <c r="C6" i="1"/>
  <c r="F15" i="7" l="1"/>
  <c r="F17" i="7" s="1"/>
  <c r="D15" i="7"/>
  <c r="D17" i="7" s="1"/>
  <c r="G15" i="7"/>
  <c r="G17" i="7" s="1"/>
  <c r="E15" i="7"/>
  <c r="E17" i="7" s="1"/>
  <c r="C18" i="7" l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<sst xmlns="http://schemas.openxmlformats.org/spreadsheetml/2006/main" count="78" uniqueCount="74">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</sst>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[$-810]d\ mmmm\ yyyy;@"/>
  </numFmts>
  <fonts count="25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1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43" fontId="8" fillId="0" borderId="3" xfId="1" applyFont="1" applyBorder="1" applyAlignment="1"/>
    <xf numFmtId="43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43" fontId="8" fillId="0" borderId="0" xfId="1" applyFont="1" applyBorder="1" applyAlignment="1"/>
    <xf numFmtId="43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43" fontId="18" fillId="0" borderId="0" xfId="1" applyFont="1" applyBorder="1" applyAlignment="1"/>
    <xf numFmtId="43" fontId="8" fillId="0" borderId="0" xfId="1" applyFont="1" applyBorder="1"/>
    <xf numFmtId="0" fontId="9" fillId="0" borderId="6" xfId="0" applyFont="1" applyBorder="1" applyAlignment="1">
      <alignment vertical="center" wrapText="1"/>
    </xf>
    <xf numFmtId="43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43" fontId="18" fillId="0" borderId="2" xfId="1" applyFont="1" applyBorder="1" applyAlignment="1"/>
    <xf numFmtId="43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43" fontId="18" fillId="0" borderId="3" xfId="1" applyFont="1" applyBorder="1" applyAlignment="1"/>
    <xf numFmtId="43" fontId="18" fillId="0" borderId="8" xfId="1" applyFont="1" applyBorder="1" applyAlignment="1"/>
    <xf numFmtId="0" fontId="0" fillId="0" borderId="0" xfId="0" applyAlignment="1">
      <alignment horizontal="left"/>
    </xf>
    <xf numFmtId="43" fontId="0" fillId="0" borderId="0" xfId="0" applyNumberFormat="1"/>
    <xf numFmtId="43" fontId="0" fillId="0" borderId="5" xfId="0" applyNumberFormat="1" applyBorder="1"/>
    <xf numFmtId="0" fontId="0" fillId="0" borderId="11" xfId="0" applyBorder="1"/>
    <xf numFmtId="43" fontId="8" fillId="0" borderId="12" xfId="1" applyFont="1" applyBorder="1" applyAlignment="1"/>
    <xf numFmtId="43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1" fillId="0" borderId="9" xfId="0" applyFont="1" applyBorder="1" applyAlignment="1">
      <alignment vertical="center" wrapText="1"/>
    </xf>
    <xf numFmtId="43" fontId="11" fillId="0" borderId="9" xfId="1" applyFont="1" applyBorder="1" applyAlignment="1"/>
    <xf numFmtId="43" fontId="11" fillId="0" borderId="3" xfId="1" applyFont="1" applyBorder="1" applyAlignment="1"/>
    <xf numFmtId="165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2" fillId="2" borderId="9" xfId="0" applyNumberFormat="1" applyFont="1" applyFill="1" applyBorder="1"/>
    <xf numFmtId="43" fontId="0" fillId="0" borderId="0" xfId="0" applyNumberFormat="1" applyFill="1"/>
    <xf numFmtId="0" fontId="23" fillId="0" borderId="0" xfId="0" applyFont="1"/>
    <xf numFmtId="43" fontId="5" fillId="0" borderId="12" xfId="1" applyFont="1" applyBorder="1" applyAlignment="1"/>
    <xf numFmtId="43" fontId="5" fillId="2" borderId="12" xfId="1" applyFont="1" applyFill="1" applyBorder="1" applyAlignment="1"/>
    <xf numFmtId="43" fontId="5" fillId="2" borderId="5" xfId="1" applyFont="1" applyFill="1" applyBorder="1" applyAlignment="1"/>
    <xf numFmtId="0" fontId="24" fillId="0" borderId="12" xfId="0" applyFont="1" applyBorder="1" applyAlignment="1">
      <alignment vertical="center" wrapText="1"/>
    </xf>
    <xf numFmtId="0" fontId="0" fillId="0" borderId="13" xfId="0" applyBorder="1"/>
    <xf numFmtId="0" fontId="20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A50" sqref="A50"/>
    </sheetView>
  </sheetViews>
  <sheetFormatPr defaultColWidth="9.140625" defaultRowHeight="15" x14ac:dyDescent="0.2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19" t="s">
        <v>0</v>
      </c>
      <c r="B2" s="18" t="s">
        <v>19</v>
      </c>
    </row>
    <row r="3" spans="1:5" x14ac:dyDescent="0.25">
      <c r="A3" s="19"/>
      <c r="B3" s="22" t="str">
        <f>BFunctionsVersion()</f>
        <v>2015-11-28</v>
      </c>
    </row>
    <row r="4" spans="1:5" x14ac:dyDescent="0.25">
      <c r="A4" s="19"/>
    </row>
    <row r="5" spans="1:5" x14ac:dyDescent="0.25">
      <c r="B5" s="24"/>
      <c r="E5" s="23"/>
    </row>
    <row r="6" spans="1:5" x14ac:dyDescent="0.2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 x14ac:dyDescent="0.25">
      <c r="A7" s="18" t="s">
        <v>27</v>
      </c>
      <c r="B7" s="20" t="s">
        <v>3</v>
      </c>
    </row>
    <row r="8" spans="1:5" x14ac:dyDescent="0.25">
      <c r="A8" s="18" t="s">
        <v>28</v>
      </c>
      <c r="B8" s="20"/>
    </row>
    <row r="9" spans="1:5" x14ac:dyDescent="0.25">
      <c r="B9" s="26"/>
    </row>
    <row r="10" spans="1:5" x14ac:dyDescent="0.25">
      <c r="B10" s="26"/>
      <c r="C10" t="s">
        <v>30</v>
      </c>
    </row>
    <row r="11" spans="1:5" x14ac:dyDescent="0.25">
      <c r="A11" s="18" t="s">
        <v>21</v>
      </c>
      <c r="B11" s="18" t="str">
        <f>BFileName( B6,DisableConnection)</f>
        <v>company-2015.ac2</v>
      </c>
      <c r="C11" t="s">
        <v>26</v>
      </c>
    </row>
    <row r="12" spans="1:5" x14ac:dyDescent="0.25">
      <c r="A12" s="18" t="s">
        <v>22</v>
      </c>
      <c r="B12" s="18" t="str">
        <f>BFileName( B7,DisableConnection)</f>
        <v>company-2014.ac2</v>
      </c>
      <c r="C12" t="s">
        <v>54</v>
      </c>
    </row>
    <row r="13" spans="1:5" x14ac:dyDescent="0.25">
      <c r="A13" s="18" t="s">
        <v>29</v>
      </c>
      <c r="B13" s="18" t="str">
        <f>BFileName( B8,DisableConnection)</f>
        <v/>
      </c>
    </row>
    <row r="14" spans="1:5" x14ac:dyDescent="0.25">
      <c r="A14" s="18"/>
      <c r="B14" s="18"/>
    </row>
    <row r="15" spans="1:5" x14ac:dyDescent="0.25">
      <c r="A15" s="18" t="s">
        <v>55</v>
      </c>
      <c r="B15" s="53"/>
      <c r="C15" t="s">
        <v>56</v>
      </c>
    </row>
    <row r="16" spans="1:5" x14ac:dyDescent="0.25">
      <c r="C16" t="s">
        <v>57</v>
      </c>
      <c r="D16" s="5"/>
    </row>
    <row r="17" spans="1:6" x14ac:dyDescent="0.25">
      <c r="B17" s="18"/>
      <c r="C17" s="22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29" t="s">
        <v>23</v>
      </c>
      <c r="B19" s="11"/>
      <c r="C19" s="11"/>
      <c r="D19" s="12"/>
      <c r="E19" s="12"/>
      <c r="F19" s="12"/>
    </row>
    <row r="20" spans="1:6" s="7" customFormat="1" ht="15.75" x14ac:dyDescent="0.25">
      <c r="A20" s="27" t="s">
        <v>1</v>
      </c>
      <c r="B20" s="11"/>
      <c r="C20" s="11"/>
      <c r="D20" s="12"/>
      <c r="E20" s="12"/>
      <c r="F20" s="12"/>
    </row>
    <row r="21" spans="1:6" s="7" customFormat="1" x14ac:dyDescent="0.25">
      <c r="A21" t="s">
        <v>24</v>
      </c>
      <c r="B21" s="11"/>
      <c r="C21" s="11"/>
      <c r="D21" s="12"/>
      <c r="E21" s="12"/>
      <c r="F21" s="12"/>
    </row>
    <row r="22" spans="1:6" s="7" customFormat="1" x14ac:dyDescent="0.25">
      <c r="A22" t="s">
        <v>14</v>
      </c>
      <c r="B22" s="11"/>
      <c r="C22" s="11"/>
      <c r="D22" s="12"/>
      <c r="E22" s="12"/>
      <c r="F22" s="12"/>
    </row>
    <row r="23" spans="1:6" s="7" customFormat="1" x14ac:dyDescent="0.25">
      <c r="A23" t="s">
        <v>16</v>
      </c>
      <c r="B23" s="11"/>
      <c r="C23" s="11"/>
      <c r="D23" s="12"/>
      <c r="E23" s="12"/>
      <c r="F23" s="12"/>
    </row>
    <row r="24" spans="1:6" s="7" customFormat="1" x14ac:dyDescent="0.25">
      <c r="A24" s="26"/>
      <c r="B24" s="11"/>
      <c r="C24" s="11"/>
      <c r="D24" s="12"/>
      <c r="E24" s="12"/>
      <c r="F24" s="12"/>
    </row>
    <row r="25" spans="1:6" s="7" customFormat="1" x14ac:dyDescent="0.25">
      <c r="A25"/>
      <c r="B25" s="13"/>
      <c r="C25" s="13"/>
      <c r="D25" s="12"/>
      <c r="E25" s="12"/>
      <c r="F25" s="12"/>
    </row>
    <row r="26" spans="1:6" s="7" customFormat="1" ht="18.75" x14ac:dyDescent="0.3">
      <c r="A26" s="30" t="s">
        <v>15</v>
      </c>
      <c r="B26" s="11"/>
      <c r="C26" s="11"/>
      <c r="D26" s="12"/>
      <c r="E26" s="12"/>
      <c r="F26" s="12"/>
    </row>
    <row r="27" spans="1:6" s="7" customFormat="1" x14ac:dyDescent="0.25">
      <c r="A27" s="31" t="s">
        <v>31</v>
      </c>
      <c r="B27" s="11"/>
      <c r="C27" s="11"/>
      <c r="D27" s="12"/>
      <c r="E27" s="12"/>
      <c r="F27" s="12"/>
    </row>
    <row r="28" spans="1:6" s="7" customFormat="1" x14ac:dyDescent="0.25">
      <c r="A28" s="22" t="s">
        <v>4</v>
      </c>
      <c r="B28" s="11"/>
      <c r="C28" s="11"/>
      <c r="D28" s="12"/>
      <c r="E28" s="12"/>
      <c r="F28" s="12"/>
    </row>
    <row r="29" spans="1:6" x14ac:dyDescent="0.25">
      <c r="A29" s="22" t="s">
        <v>5</v>
      </c>
      <c r="B29" s="13"/>
      <c r="C29" s="13"/>
      <c r="D29" s="14"/>
      <c r="E29" s="14"/>
      <c r="F29" s="14"/>
    </row>
    <row r="30" spans="1:6" x14ac:dyDescent="0.25">
      <c r="A30" s="22" t="s">
        <v>6</v>
      </c>
      <c r="B30" s="11"/>
      <c r="C30" s="11"/>
      <c r="D30" s="14"/>
      <c r="E30" s="14"/>
      <c r="F30" s="14"/>
    </row>
    <row r="31" spans="1:6" x14ac:dyDescent="0.25">
      <c r="A31" s="22" t="s">
        <v>7</v>
      </c>
      <c r="B31" s="11"/>
      <c r="C31" s="11"/>
      <c r="D31" s="14"/>
      <c r="E31" s="14"/>
      <c r="F31" s="14"/>
    </row>
    <row r="32" spans="1:6" x14ac:dyDescent="0.25">
      <c r="A32" s="22" t="s">
        <v>4</v>
      </c>
      <c r="B32" s="11"/>
      <c r="C32" s="11"/>
      <c r="D32" s="14"/>
      <c r="E32" s="14"/>
      <c r="F32" s="14"/>
    </row>
    <row r="33" spans="1:6" x14ac:dyDescent="0.25">
      <c r="A33" s="25" t="s">
        <v>8</v>
      </c>
      <c r="B33" s="13"/>
      <c r="C33" s="13"/>
      <c r="D33" s="14"/>
      <c r="E33" s="14"/>
      <c r="F33" s="14"/>
    </row>
    <row r="34" spans="1:6" x14ac:dyDescent="0.25">
      <c r="A34" s="22" t="s">
        <v>4</v>
      </c>
      <c r="B34" s="11"/>
      <c r="C34" s="11"/>
      <c r="D34" s="12"/>
      <c r="E34" s="12"/>
      <c r="F34" s="12"/>
    </row>
    <row r="35" spans="1:6" x14ac:dyDescent="0.25">
      <c r="A35" s="22" t="s">
        <v>9</v>
      </c>
      <c r="B35" s="11"/>
      <c r="C35" s="11"/>
      <c r="D35" s="12"/>
      <c r="E35" s="12"/>
      <c r="F35" s="12"/>
    </row>
    <row r="36" spans="1:6" x14ac:dyDescent="0.25">
      <c r="A36" s="22" t="s">
        <v>10</v>
      </c>
      <c r="B36" s="11"/>
      <c r="C36" s="11"/>
      <c r="D36" s="12"/>
      <c r="E36" s="12"/>
      <c r="F36" s="12"/>
    </row>
    <row r="37" spans="1:6" x14ac:dyDescent="0.25">
      <c r="A37" s="22" t="s">
        <v>11</v>
      </c>
      <c r="B37" s="17"/>
      <c r="C37" s="17"/>
      <c r="D37" s="9"/>
      <c r="E37" s="9"/>
      <c r="F37" s="9"/>
    </row>
    <row r="38" spans="1:6" x14ac:dyDescent="0.25">
      <c r="A38" s="22" t="s">
        <v>12</v>
      </c>
      <c r="B38" s="11"/>
      <c r="C38" s="11"/>
      <c r="D38" s="12"/>
      <c r="E38" s="12"/>
      <c r="F38" s="12"/>
    </row>
    <row r="39" spans="1:6" x14ac:dyDescent="0.25">
      <c r="A39" s="22" t="s">
        <v>13</v>
      </c>
      <c r="B39" s="11"/>
      <c r="C39" s="11"/>
      <c r="D39" s="12"/>
      <c r="E39" s="12"/>
      <c r="F39" s="12"/>
    </row>
    <row r="40" spans="1:6" x14ac:dyDescent="0.25">
      <c r="A40" s="8"/>
      <c r="B40" s="17"/>
      <c r="C40" s="17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3"/>
      <c r="C43" s="13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3"/>
      <c r="C46" s="13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3"/>
      <c r="B48" s="8"/>
      <c r="C48" s="8"/>
      <c r="D48" s="9"/>
      <c r="E48" s="9"/>
      <c r="F48" s="9"/>
    </row>
    <row r="49" spans="1:6" x14ac:dyDescent="0.25">
      <c r="A49" s="8"/>
      <c r="B49" s="15"/>
      <c r="C49" s="15"/>
      <c r="D49" s="9"/>
      <c r="E49" s="9"/>
      <c r="F49" s="9"/>
    </row>
    <row r="50" spans="1:6" x14ac:dyDescent="0.25">
      <c r="A50" s="16" t="s">
        <v>70</v>
      </c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3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B2" sqref="B2"/>
    </sheetView>
  </sheetViews>
  <sheetFormatPr defaultColWidth="9.140625" defaultRowHeight="15" x14ac:dyDescent="0.2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 x14ac:dyDescent="0.25">
      <c r="B2" s="34" t="str">
        <f ca="1">BInfo( File0,"Base","HeaderLeft")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 x14ac:dyDescent="0.25">
      <c r="A5" s="10" t="s">
        <v>32</v>
      </c>
      <c r="B5" s="35" t="str">
        <f t="shared" ref="B5:B14" ca="1" si="0">BAccountDescription(File0,A5)</f>
        <v>Cash</v>
      </c>
      <c r="C5" s="36">
        <f t="shared" ref="C5:C14" ca="1" si="1">BAmount(File0,$A5)</f>
        <v>17758.18</v>
      </c>
      <c r="D5" s="37">
        <f t="shared" ref="D5:D19" ca="1" si="2">BAmount(File1,$A5)</f>
        <v>19070</v>
      </c>
    </row>
    <row r="6" spans="1:4" x14ac:dyDescent="0.25">
      <c r="A6" s="10" t="s">
        <v>34</v>
      </c>
      <c r="B6" s="35" t="str">
        <f t="shared" ca="1" si="0"/>
        <v>Accounts Receivable</v>
      </c>
      <c r="C6" s="36">
        <f t="shared" ca="1" si="1"/>
        <v>10000</v>
      </c>
      <c r="D6" s="37">
        <f t="shared" ca="1" si="2"/>
        <v>10000</v>
      </c>
    </row>
    <row r="7" spans="1:4" s="7" customFormat="1" x14ac:dyDescent="0.25">
      <c r="A7" s="10" t="s">
        <v>35</v>
      </c>
      <c r="B7" s="35" t="str">
        <f t="shared" ca="1" si="0"/>
        <v>Inventory</v>
      </c>
      <c r="C7" s="36">
        <f t="shared" ca="1" si="1"/>
        <v>7000</v>
      </c>
      <c r="D7" s="37">
        <f t="shared" ca="1" si="2"/>
        <v>7000</v>
      </c>
    </row>
    <row r="8" spans="1:4" s="7" customFormat="1" x14ac:dyDescent="0.25">
      <c r="A8" s="10" t="s">
        <v>36</v>
      </c>
      <c r="B8" s="35" t="str">
        <f t="shared" ca="1" si="0"/>
        <v>Prepaid Expenses</v>
      </c>
      <c r="C8" s="36">
        <f t="shared" ca="1" si="1"/>
        <v>0</v>
      </c>
      <c r="D8" s="37">
        <f t="shared" ca="1" si="2"/>
        <v>0</v>
      </c>
    </row>
    <row r="9" spans="1:4" s="7" customFormat="1" x14ac:dyDescent="0.25">
      <c r="A9" s="10" t="s">
        <v>37</v>
      </c>
      <c r="B9" s="38" t="str">
        <f t="shared" ca="1" si="0"/>
        <v>Current Assets</v>
      </c>
      <c r="C9" s="39">
        <f t="shared" ca="1" si="1"/>
        <v>34758.18</v>
      </c>
      <c r="D9" s="37">
        <f t="shared" ca="1" si="2"/>
        <v>36070</v>
      </c>
    </row>
    <row r="10" spans="1:4" s="7" customFormat="1" x14ac:dyDescent="0.25">
      <c r="A10" s="10" t="s">
        <v>38</v>
      </c>
      <c r="B10" s="35" t="str">
        <f t="shared" ca="1" si="0"/>
        <v>Equipment</v>
      </c>
      <c r="C10" s="36">
        <f t="shared" ca="1" si="1"/>
        <v>35000</v>
      </c>
      <c r="D10" s="37">
        <f t="shared" ca="1" si="2"/>
        <v>35000</v>
      </c>
    </row>
    <row r="11" spans="1:4" s="7" customFormat="1" x14ac:dyDescent="0.25">
      <c r="A11" s="10" t="s">
        <v>39</v>
      </c>
      <c r="B11" s="35" t="str">
        <f t="shared" ca="1" si="0"/>
        <v>Real Estate</v>
      </c>
      <c r="C11" s="36">
        <f t="shared" ca="1" si="1"/>
        <v>100000</v>
      </c>
      <c r="D11" s="37">
        <f t="shared" ca="1" si="2"/>
        <v>100000</v>
      </c>
    </row>
    <row r="12" spans="1:4" s="7" customFormat="1" x14ac:dyDescent="0.25">
      <c r="A12" s="10" t="s">
        <v>38</v>
      </c>
      <c r="B12" s="35" t="str">
        <f t="shared" ca="1" si="0"/>
        <v>Equipment</v>
      </c>
      <c r="C12" s="36">
        <f t="shared" ca="1" si="1"/>
        <v>35000</v>
      </c>
      <c r="D12" s="37">
        <f t="shared" ca="1" si="2"/>
        <v>35000</v>
      </c>
    </row>
    <row r="13" spans="1:4" s="7" customFormat="1" x14ac:dyDescent="0.25">
      <c r="A13" s="10" t="s">
        <v>41</v>
      </c>
      <c r="B13" s="38" t="str">
        <f t="shared" ca="1" si="0"/>
        <v>Fixed Assets</v>
      </c>
      <c r="C13" s="39">
        <f t="shared" ca="1" si="1"/>
        <v>135000</v>
      </c>
      <c r="D13" s="37">
        <f t="shared" ca="1" si="2"/>
        <v>135000</v>
      </c>
    </row>
    <row r="14" spans="1:4" s="7" customFormat="1" x14ac:dyDescent="0.25">
      <c r="A14" s="10" t="s">
        <v>40</v>
      </c>
      <c r="B14" s="46" t="str">
        <f t="shared" ca="1" si="0"/>
        <v>Total ASSETS</v>
      </c>
      <c r="C14" s="47">
        <f t="shared" ca="1" si="1"/>
        <v>169758.18</v>
      </c>
      <c r="D14" s="32">
        <f t="shared" ca="1" si="2"/>
        <v>171070</v>
      </c>
    </row>
    <row r="15" spans="1:4" x14ac:dyDescent="0.25">
      <c r="A15" s="11"/>
      <c r="B15" s="38"/>
      <c r="C15" s="40"/>
      <c r="D15" s="37">
        <f t="shared" ca="1" si="2"/>
        <v>0</v>
      </c>
    </row>
    <row r="16" spans="1:4" x14ac:dyDescent="0.25">
      <c r="A16" s="11" t="s">
        <v>42</v>
      </c>
      <c r="B16" s="35" t="str">
        <f ca="1">BAccountDescription(File0,A16)</f>
        <v>Current Liabilities</v>
      </c>
      <c r="C16" s="40">
        <f ca="1">BAmount(File0,$A16)</f>
        <v>4126.37</v>
      </c>
      <c r="D16" s="37">
        <f t="shared" ca="1" si="2"/>
        <v>1551.82</v>
      </c>
    </row>
    <row r="17" spans="1:4" x14ac:dyDescent="0.25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2"/>
        <v>80000</v>
      </c>
    </row>
    <row r="18" spans="1:4" x14ac:dyDescent="0.25">
      <c r="A18" s="10" t="s">
        <v>44</v>
      </c>
      <c r="B18" s="35" t="str">
        <f ca="1">BAccountDescription(File0,A18)</f>
        <v>Shareholders' Equity</v>
      </c>
      <c r="C18" s="36">
        <f ca="1">BAmount(File0,$A18)</f>
        <v>85631.81</v>
      </c>
      <c r="D18" s="37">
        <f t="shared" ca="1" si="2"/>
        <v>89518.18</v>
      </c>
    </row>
    <row r="19" spans="1:4" x14ac:dyDescent="0.25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2"/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 x14ac:dyDescent="0.25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 x14ac:dyDescent="0.25">
      <c r="A23" s="10"/>
      <c r="B23" s="35"/>
      <c r="C23" s="36"/>
      <c r="D23" s="49"/>
    </row>
    <row r="24" spans="1:4" x14ac:dyDescent="0.25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3636.36</v>
      </c>
    </row>
    <row r="25" spans="1:4" x14ac:dyDescent="0.25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 x14ac:dyDescent="0.25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3390.91</v>
      </c>
    </row>
    <row r="27" spans="1:4" x14ac:dyDescent="0.25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 x14ac:dyDescent="0.25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3390.91</v>
      </c>
    </row>
    <row r="29" spans="1:4" x14ac:dyDescent="0.25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 x14ac:dyDescent="0.25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 x14ac:dyDescent="0.25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7027.27</v>
      </c>
    </row>
    <row r="32" spans="1:4" x14ac:dyDescent="0.25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2518.1799999999998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1"/>
  <sheetViews>
    <sheetView tabSelected="1" workbookViewId="0">
      <selection activeCell="I8" sqref="I8"/>
    </sheetView>
  </sheetViews>
  <sheetFormatPr defaultRowHeight="15" x14ac:dyDescent="0.25"/>
  <cols>
    <col min="1" max="1" width="13.28515625" customWidth="1"/>
    <col min="2" max="2" width="27.42578125" customWidth="1"/>
    <col min="4" max="4" width="10.42578125" customWidth="1"/>
  </cols>
  <sheetData>
    <row r="1" spans="1:8" ht="15.75" x14ac:dyDescent="0.25">
      <c r="A1" s="71" t="str">
        <f ca="1">BInfo( File0,"Base","HeaderLeft")</f>
        <v>Sibex Ltd</v>
      </c>
    </row>
    <row r="2" spans="1:8" ht="15.75" x14ac:dyDescent="0.25">
      <c r="A2" s="27" t="s">
        <v>69</v>
      </c>
    </row>
    <row r="3" spans="1:8" x14ac:dyDescent="0.25">
      <c r="A3" t="s">
        <v>65</v>
      </c>
      <c r="B3" s="66">
        <f>BStartPeriod(File0)</f>
        <v>42005</v>
      </c>
    </row>
    <row r="4" spans="1:8" x14ac:dyDescent="0.25">
      <c r="A4" t="s">
        <v>64</v>
      </c>
      <c r="B4" s="66">
        <f>BEndPeriod(File0)</f>
        <v>42369</v>
      </c>
    </row>
    <row r="5" spans="1:8" x14ac:dyDescent="0.25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8" x14ac:dyDescent="0.25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</row>
    <row r="7" spans="1:8" x14ac:dyDescent="0.25">
      <c r="A7" s="77">
        <v>3220</v>
      </c>
      <c r="B7" s="59" t="str">
        <f t="shared" ref="B7:B9" ca="1" si="0">BAccountDescription(File0,A7)</f>
        <v>Car expenses</v>
      </c>
      <c r="C7" s="57">
        <f t="shared" ref="C7:C14" ca="1" si="1">BAmount(File0,$A7)</f>
        <v>0</v>
      </c>
      <c r="D7" s="58">
        <f ca="1">$C7*D$6</f>
        <v>0</v>
      </c>
      <c r="E7" s="58">
        <f t="shared" ref="E7:G14" ca="1" si="2">$C7*E$6</f>
        <v>0</v>
      </c>
      <c r="F7" s="58">
        <f t="shared" ca="1" si="2"/>
        <v>0</v>
      </c>
      <c r="G7" s="55">
        <f t="shared" ca="1" si="2"/>
        <v>0</v>
      </c>
    </row>
    <row r="8" spans="1:8" x14ac:dyDescent="0.25">
      <c r="A8" s="77">
        <v>3230</v>
      </c>
      <c r="B8" s="59" t="str">
        <f t="shared" ca="1" si="0"/>
        <v>Other insurances</v>
      </c>
      <c r="C8" s="57">
        <f t="shared" ca="1" si="1"/>
        <v>0</v>
      </c>
      <c r="D8" s="58">
        <f t="shared" ref="D8:D14" ca="1" si="3">$C8*D$6</f>
        <v>0</v>
      </c>
      <c r="E8" s="58">
        <f t="shared" ca="1" si="2"/>
        <v>0</v>
      </c>
      <c r="F8" s="58">
        <f t="shared" ca="1" si="2"/>
        <v>0</v>
      </c>
      <c r="G8" s="55">
        <f t="shared" ca="1" si="2"/>
        <v>0</v>
      </c>
    </row>
    <row r="9" spans="1:8" x14ac:dyDescent="0.25">
      <c r="A9" s="77">
        <v>3240</v>
      </c>
      <c r="B9" s="59" t="str">
        <f t="shared" ca="1" si="0"/>
        <v>Fees</v>
      </c>
      <c r="C9" s="57">
        <f t="shared" ca="1" si="1"/>
        <v>0</v>
      </c>
      <c r="D9" s="58">
        <f t="shared" ca="1" si="3"/>
        <v>0</v>
      </c>
      <c r="E9" s="58">
        <f t="shared" ca="1" si="2"/>
        <v>0</v>
      </c>
      <c r="F9" s="58">
        <f t="shared" ca="1" si="2"/>
        <v>0</v>
      </c>
      <c r="G9" s="55">
        <f t="shared" ca="1" si="2"/>
        <v>0</v>
      </c>
    </row>
    <row r="10" spans="1:8" x14ac:dyDescent="0.25">
      <c r="A10" s="77">
        <v>3250</v>
      </c>
      <c r="B10" s="59" t="str">
        <f t="shared" ref="B10:B14" ca="1" si="4">BAccountDescription(File0,A10)</f>
        <v>Electricity</v>
      </c>
      <c r="C10" s="57">
        <f t="shared" ca="1" si="1"/>
        <v>0</v>
      </c>
      <c r="D10" s="58">
        <f t="shared" ca="1" si="3"/>
        <v>0</v>
      </c>
      <c r="E10" s="58">
        <f t="shared" ca="1" si="2"/>
        <v>0</v>
      </c>
      <c r="F10" s="58">
        <f t="shared" ca="1" si="2"/>
        <v>0</v>
      </c>
      <c r="G10" s="55">
        <f t="shared" ca="1" si="2"/>
        <v>0</v>
      </c>
    </row>
    <row r="11" spans="1:8" x14ac:dyDescent="0.25">
      <c r="A11" s="77">
        <v>3260</v>
      </c>
      <c r="B11" s="59" t="str">
        <f t="shared" ca="1" si="4"/>
        <v>Office supplies</v>
      </c>
      <c r="C11" s="57">
        <f t="shared" ca="1" si="1"/>
        <v>27.27</v>
      </c>
      <c r="D11" s="58">
        <f t="shared" ca="1" si="3"/>
        <v>5.4540000000000006</v>
      </c>
      <c r="E11" s="58">
        <f t="shared" ca="1" si="2"/>
        <v>13.635</v>
      </c>
      <c r="F11" s="58">
        <f t="shared" ca="1" si="2"/>
        <v>0</v>
      </c>
      <c r="G11" s="55">
        <f t="shared" ca="1" si="2"/>
        <v>8.1809999999999992</v>
      </c>
    </row>
    <row r="12" spans="1:8" x14ac:dyDescent="0.25">
      <c r="A12" s="77">
        <v>3270</v>
      </c>
      <c r="B12" s="59" t="str">
        <f t="shared" ca="1" si="4"/>
        <v>Telephone, Fax</v>
      </c>
      <c r="C12" s="57">
        <f t="shared" ca="1" si="1"/>
        <v>345.46</v>
      </c>
      <c r="D12" s="58">
        <f t="shared" ca="1" si="3"/>
        <v>69.091999999999999</v>
      </c>
      <c r="E12" s="58">
        <f t="shared" ca="1" si="2"/>
        <v>172.73</v>
      </c>
      <c r="F12" s="58">
        <f t="shared" ca="1" si="2"/>
        <v>0</v>
      </c>
      <c r="G12" s="55">
        <f t="shared" ca="1" si="2"/>
        <v>103.63799999999999</v>
      </c>
    </row>
    <row r="13" spans="1:8" x14ac:dyDescent="0.25">
      <c r="A13" s="77">
        <v>3280</v>
      </c>
      <c r="B13" s="59" t="str">
        <f t="shared" ca="1" si="4"/>
        <v>Mailing fees</v>
      </c>
      <c r="C13" s="57">
        <f t="shared" ca="1" si="1"/>
        <v>0</v>
      </c>
      <c r="D13" s="58">
        <f t="shared" ca="1" si="3"/>
        <v>0</v>
      </c>
      <c r="E13" s="58">
        <f t="shared" ca="1" si="2"/>
        <v>0</v>
      </c>
      <c r="F13" s="58">
        <f t="shared" ca="1" si="2"/>
        <v>0</v>
      </c>
      <c r="G13" s="55">
        <f t="shared" ca="1" si="2"/>
        <v>0</v>
      </c>
    </row>
    <row r="14" spans="1:8" x14ac:dyDescent="0.25">
      <c r="A14" s="77">
        <v>3290</v>
      </c>
      <c r="B14" s="59" t="str">
        <f t="shared" ca="1" si="4"/>
        <v>Advertising</v>
      </c>
      <c r="C14" s="57">
        <f t="shared" ca="1" si="1"/>
        <v>0</v>
      </c>
      <c r="D14" s="58">
        <f t="shared" ca="1" si="3"/>
        <v>0</v>
      </c>
      <c r="E14" s="58">
        <f t="shared" ca="1" si="2"/>
        <v>0</v>
      </c>
      <c r="F14" s="58">
        <f t="shared" ca="1" si="2"/>
        <v>0</v>
      </c>
      <c r="G14" s="55">
        <f t="shared" ca="1" si="2"/>
        <v>0</v>
      </c>
    </row>
    <row r="15" spans="1:8" x14ac:dyDescent="0.25">
      <c r="A15" s="60"/>
      <c r="B15" s="63" t="s">
        <v>59</v>
      </c>
      <c r="C15" s="64">
        <f ca="1">SUM(C7:C14)</f>
        <v>372.72999999999996</v>
      </c>
      <c r="D15" s="64">
        <f ca="1">SUM(D7:D14)</f>
        <v>74.545999999999992</v>
      </c>
      <c r="E15" s="64">
        <f t="shared" ref="E15:G15" ca="1" si="5">SUM(E7:E14)</f>
        <v>186.36499999999998</v>
      </c>
      <c r="F15" s="64">
        <f t="shared" ca="1" si="5"/>
        <v>0</v>
      </c>
      <c r="G15" s="65">
        <f t="shared" ca="1" si="5"/>
        <v>111.81899999999999</v>
      </c>
      <c r="H15" s="54"/>
    </row>
    <row r="16" spans="1:8" x14ac:dyDescent="0.25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 x14ac:dyDescent="0.25">
      <c r="A17" s="60"/>
      <c r="B17" s="63" t="s">
        <v>72</v>
      </c>
      <c r="C17" s="64">
        <f ca="1">C15-C16</f>
        <v>72.729999999999961</v>
      </c>
      <c r="D17" s="64">
        <f t="shared" ref="D17:G17" ca="1" si="6">D15-D16</f>
        <v>-25.454000000000008</v>
      </c>
      <c r="E17" s="64">
        <f t="shared" ca="1" si="6"/>
        <v>86.364999999999981</v>
      </c>
      <c r="F17" s="64">
        <f t="shared" ca="1" si="6"/>
        <v>0</v>
      </c>
      <c r="G17" s="64">
        <f t="shared" ca="1" si="6"/>
        <v>11.818999999999988</v>
      </c>
      <c r="H17" s="54"/>
    </row>
    <row r="18" spans="1:8" x14ac:dyDescent="0.25">
      <c r="A18" t="s">
        <v>67</v>
      </c>
      <c r="C18" s="70">
        <f ca="1">C15-SUM(D15:G15)</f>
        <v>0</v>
      </c>
    </row>
    <row r="20" spans="1:8" x14ac:dyDescent="0.25">
      <c r="A20" s="20" t="s">
        <v>73</v>
      </c>
      <c r="B20" s="20"/>
    </row>
    <row r="21" spans="1:8" x14ac:dyDescent="0.25">
      <c r="A21" t="s">
        <v>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5</vt:i4>
      </vt:variant>
    </vt:vector>
  </HeadingPairs>
  <TitlesOfParts>
    <vt:vector size="8" baseType="lpstr">
      <vt:lpstr>Start</vt:lpstr>
      <vt:lpstr>Current &amp; Last Yeat</vt:lpstr>
      <vt:lpstr>Cost Division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domenico@banana.ch</cp:lastModifiedBy>
  <cp:lastPrinted>2015-11-28T15:06:09Z</cp:lastPrinted>
  <dcterms:created xsi:type="dcterms:W3CDTF">2014-07-24T08:59:22Z</dcterms:created>
  <dcterms:modified xsi:type="dcterms:W3CDTF">2015-11-28T15:07:14Z</dcterms:modified>
</cp:coreProperties>
</file>